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carnitas\"/>
    </mc:Choice>
  </mc:AlternateContent>
  <xr:revisionPtr revIDLastSave="0" documentId="8_{9AF65348-634A-4CB9-BFF7-991FEDB0C379}" xr6:coauthVersionLast="47" xr6:coauthVersionMax="47" xr10:uidLastSave="{00000000-0000-0000-0000-000000000000}"/>
  <bookViews>
    <workbookView xWindow="-108" yWindow="-108" windowWidth="23256" windowHeight="12456" xr2:uid="{AB8337B3-0B0D-475D-9695-5DD86729B17B}"/>
  </bookViews>
  <sheets>
    <sheet name="Leeme" sheetId="1" r:id="rId1"/>
    <sheet name="Resumen" sheetId="2" r:id="rId2"/>
    <sheet name="Fichas técnicas" sheetId="3" r:id="rId3"/>
    <sheet name="Insumos" sheetId="4" r:id="rId4"/>
    <sheet name="Salsa Carnitas" sheetId="5" r:id="rId5"/>
    <sheet name="Extr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B48" i="3"/>
  <c r="B47" i="3"/>
  <c r="B46" i="3"/>
  <c r="B45" i="3"/>
  <c r="B44" i="3"/>
  <c r="B43" i="3"/>
  <c r="B42" i="3"/>
  <c r="B41" i="3"/>
  <c r="B40" i="3"/>
  <c r="B39" i="3"/>
  <c r="B38" i="3"/>
  <c r="E49" i="3" s="1"/>
  <c r="C12" i="2" s="1"/>
  <c r="B31" i="3"/>
  <c r="B30" i="3"/>
  <c r="B29" i="3"/>
  <c r="G28" i="3"/>
  <c r="F28" i="3" s="1"/>
  <c r="B28" i="3"/>
  <c r="G27" i="3"/>
  <c r="F27" i="3" s="1"/>
  <c r="B27" i="3"/>
  <c r="G26" i="3"/>
  <c r="F26" i="3" s="1"/>
  <c r="B26" i="3"/>
  <c r="G25" i="3"/>
  <c r="F25" i="3" s="1"/>
  <c r="B25" i="3"/>
  <c r="B24" i="3"/>
  <c r="G23" i="3"/>
  <c r="F23" i="3" s="1"/>
  <c r="B23" i="3"/>
  <c r="G22" i="3"/>
  <c r="F22" i="3" s="1"/>
  <c r="B22" i="3"/>
  <c r="E32" i="3" s="1"/>
  <c r="C10" i="2" s="1"/>
  <c r="B15" i="3"/>
  <c r="B14" i="3"/>
  <c r="B13" i="3"/>
  <c r="B12" i="3"/>
  <c r="G11" i="3"/>
  <c r="F11" i="3" s="1"/>
  <c r="B11" i="3"/>
  <c r="B10" i="3"/>
  <c r="B9" i="3"/>
  <c r="B8" i="3"/>
  <c r="G7" i="3"/>
  <c r="F7" i="3" s="1"/>
  <c r="B7" i="3"/>
  <c r="G6" i="3"/>
  <c r="F6" i="3" s="1"/>
  <c r="B6" i="3"/>
  <c r="E16" i="3" s="1"/>
  <c r="C8" i="2" s="1"/>
  <c r="E25" i="4"/>
  <c r="E24" i="4"/>
  <c r="E23" i="4"/>
  <c r="G15" i="3" s="1"/>
  <c r="E22" i="4"/>
  <c r="G47" i="3" s="1"/>
  <c r="E21" i="4"/>
  <c r="G40" i="3" s="1"/>
  <c r="E19" i="4"/>
  <c r="D7" i="6" s="1"/>
  <c r="E18" i="4"/>
  <c r="D9" i="6" s="1"/>
  <c r="E17" i="4"/>
  <c r="E16" i="4"/>
  <c r="G12" i="3" s="1"/>
  <c r="E15" i="4"/>
  <c r="G45" i="3" s="1"/>
  <c r="E14" i="4"/>
  <c r="E13" i="4"/>
  <c r="E12" i="4"/>
  <c r="D5" i="6" s="1"/>
  <c r="E11" i="4"/>
  <c r="G44" i="3" s="1"/>
  <c r="E10" i="4"/>
  <c r="D6" i="6" s="1"/>
  <c r="E9" i="4"/>
  <c r="G42" i="3" s="1"/>
  <c r="E8" i="4"/>
  <c r="G9" i="3" s="1"/>
  <c r="E7" i="4"/>
  <c r="G8" i="3" s="1"/>
  <c r="E6" i="4"/>
  <c r="G38" i="3" s="1"/>
  <c r="E5" i="4"/>
  <c r="G39" i="3" s="1"/>
  <c r="B15" i="5"/>
  <c r="D14" i="5"/>
  <c r="D13" i="5"/>
  <c r="D12" i="5"/>
  <c r="D11" i="5"/>
  <c r="D10" i="5"/>
  <c r="D9" i="5"/>
  <c r="D8" i="5"/>
  <c r="D7" i="5"/>
  <c r="D6" i="5"/>
  <c r="D5" i="5"/>
  <c r="D4" i="5"/>
  <c r="D15" i="5" s="1"/>
  <c r="D16" i="5" s="1"/>
  <c r="C20" i="4" s="1"/>
  <c r="E20" i="4" s="1"/>
  <c r="F42" i="3" l="1"/>
  <c r="D42" i="3"/>
  <c r="F6" i="6"/>
  <c r="G6" i="6"/>
  <c r="F8" i="3"/>
  <c r="D8" i="3"/>
  <c r="F45" i="3"/>
  <c r="D45" i="3"/>
  <c r="G7" i="6"/>
  <c r="F7" i="6"/>
  <c r="F47" i="3"/>
  <c r="D47" i="3"/>
  <c r="F38" i="3"/>
  <c r="D38" i="3"/>
  <c r="G9" i="6"/>
  <c r="F9" i="6"/>
  <c r="F15" i="3"/>
  <c r="D15" i="3"/>
  <c r="F44" i="3"/>
  <c r="D44" i="3"/>
  <c r="F9" i="3"/>
  <c r="D9" i="3"/>
  <c r="G5" i="6"/>
  <c r="F5" i="6"/>
  <c r="F12" i="3"/>
  <c r="D12" i="3"/>
  <c r="F40" i="3"/>
  <c r="D40" i="3"/>
  <c r="F39" i="3"/>
  <c r="D39" i="3"/>
  <c r="G13" i="3"/>
  <c r="D10" i="6"/>
  <c r="G29" i="3"/>
  <c r="G46" i="3"/>
  <c r="D8" i="6"/>
  <c r="C49" i="3"/>
  <c r="C11" i="2" s="1"/>
  <c r="D4" i="6"/>
  <c r="C16" i="3"/>
  <c r="C7" i="2" s="1"/>
  <c r="G10" i="3"/>
  <c r="G14" i="3"/>
  <c r="G24" i="3"/>
  <c r="G30" i="3"/>
  <c r="G31" i="3"/>
  <c r="G41" i="3"/>
  <c r="G43" i="3"/>
  <c r="G48" i="3"/>
  <c r="C32" i="3"/>
  <c r="C9" i="2" s="1"/>
  <c r="D6" i="3"/>
  <c r="D7" i="3"/>
  <c r="D11" i="3"/>
  <c r="D22" i="3"/>
  <c r="D23" i="3"/>
  <c r="D25" i="3"/>
  <c r="D26" i="3"/>
  <c r="D27" i="3"/>
  <c r="D28" i="3"/>
  <c r="F16" i="3" l="1"/>
  <c r="D8" i="2" s="1"/>
  <c r="D32" i="3"/>
  <c r="D9" i="2" s="1"/>
  <c r="F31" i="3"/>
  <c r="D31" i="3"/>
  <c r="F13" i="3"/>
  <c r="D13" i="3"/>
  <c r="F30" i="3"/>
  <c r="D30" i="3"/>
  <c r="F46" i="3"/>
  <c r="D46" i="3"/>
  <c r="D49" i="3" s="1"/>
  <c r="D11" i="2" s="1"/>
  <c r="F41" i="3"/>
  <c r="D41" i="3"/>
  <c r="G8" i="6"/>
  <c r="F8" i="6"/>
  <c r="F48" i="3"/>
  <c r="D48" i="3"/>
  <c r="F43" i="3"/>
  <c r="F49" i="3" s="1"/>
  <c r="D12" i="2" s="1"/>
  <c r="D43" i="3"/>
  <c r="F24" i="3"/>
  <c r="D24" i="3"/>
  <c r="G4" i="6"/>
  <c r="F4" i="6"/>
  <c r="F29" i="3"/>
  <c r="D29" i="3"/>
  <c r="F10" i="6"/>
  <c r="G10" i="6"/>
  <c r="F14" i="3"/>
  <c r="D14" i="3"/>
  <c r="F10" i="3"/>
  <c r="D10" i="3"/>
  <c r="D16" i="3" s="1"/>
  <c r="D7" i="2" s="1"/>
  <c r="G7" i="2" l="1"/>
  <c r="F7" i="2"/>
  <c r="D11" i="6"/>
  <c r="H7" i="2"/>
  <c r="G11" i="2"/>
  <c r="F11" i="2"/>
  <c r="H11" i="2"/>
  <c r="H12" i="2"/>
  <c r="G12" i="2"/>
  <c r="F12" i="2"/>
  <c r="H8" i="2"/>
  <c r="G8" i="2"/>
  <c r="F8" i="2"/>
  <c r="F32" i="3"/>
  <c r="D10" i="2" s="1"/>
  <c r="G9" i="2"/>
  <c r="F9" i="2"/>
  <c r="H9" i="2"/>
  <c r="H10" i="2" l="1"/>
  <c r="G10" i="2"/>
  <c r="F10" i="2"/>
  <c r="G11" i="6"/>
  <c r="F11" i="6"/>
</calcChain>
</file>

<file path=xl/sharedStrings.xml><?xml version="1.0" encoding="utf-8"?>
<sst xmlns="http://schemas.openxmlformats.org/spreadsheetml/2006/main" count="259" uniqueCount="152">
  <si>
    <t>Carnitas — Costeo del menú para Boyacá</t>
  </si>
  <si>
    <t>CÓMO USAR ESTE ARCHIVO</t>
  </si>
  <si>
    <t>1. Hoja 'Insumos': cambia los precios en AZUL con fondo amarillo por las cotizaciones de tus proveedores.</t>
  </si>
  <si>
    <t>2. Hoja 'Salsa Carnitas': receta del lote de 1 kg; su costo por kg pasa solo a 'Insumos'.</t>
  </si>
  <si>
    <t>3. Hoja 'Fichas técnicas': gramajes de cada plato (editables en azul). Los costos se calculan solos.</t>
  </si>
  <si>
    <t>4. Hoja 'Resumen': precio de venta (azul), % de costo, ganancia y precios sugeridos. Ajusta el % objetivo y la comisión de apps.</t>
  </si>
  <si>
    <t>5. Hoja 'Extras': adiciones, combo y frasco de salsa, con su margen.</t>
  </si>
  <si>
    <t>CÓDIGO DE COLORES</t>
  </si>
  <si>
    <t>Texto azul con fondo amarillo = dato que puedes editar. Texto negro = fórmula. Texto verde = viene de otra hoja.</t>
  </si>
  <si>
    <t>IMPORTANTE SOBRE LOS PRECIOS</t>
  </si>
  <si>
    <t>Solo el pernil de cerdo ($17.000/kg) y la papa criolla ($5.192/kg) son datos de Tunja (Agronegocios, julio 2026).</t>
  </si>
  <si>
    <t>Todos los demás precios son ESTIMADOS típicos de Colombia: reemplázalos con tus cotizaciones antes de fijar precios de venta.</t>
  </si>
  <si>
    <t>El rendimiento de las carnitas (50%) es el dato que más mueve los costos: mídelo con tu receta (gramos cocidos por kilo de pernil).</t>
  </si>
  <si>
    <t>Las ganancias son brutas: no incluyen arriendo, nómina, servicios ni comisiones de apps.</t>
  </si>
  <si>
    <t>EL MENÚ: 3 PLATOS, 2 TAMAÑOS (personal y para compartir)</t>
  </si>
  <si>
    <t>1. La Clásica Carnitas — motor de recompra y precio de entrada.</t>
  </si>
  <si>
    <t>2. La Gringa Carnitas — queso + tocineta para el público de hamburguesa; mejor margen.</t>
  </si>
  <si>
    <t>3. La Boyacense — plato firma con papa criolla, longaniza y queso Paipa.</t>
  </si>
  <si>
    <t>CLAVES DE CALIDAD (lo que tienen en común los platos ganadores)</t>
  </si>
  <si>
    <t>• Papa doble frita: 150–160 °C hasta cocer; al servir, 180–190 °C hasta dorar.</t>
  </si>
  <si>
    <t>• Carnitas doradas en plancha justo antes de servir.</t>
  </si>
  <si>
    <t>• Queso directo sobre la papa caliente; la salsa al final (la mayo no se calienta).</t>
  </si>
  <si>
    <t>• Pesa cada porción con gramera: misma porción siempre = recompra.</t>
  </si>
  <si>
    <t>SALSA CARNITAS — PROCEDIMIENTO</t>
  </si>
  <si>
    <t>1. Disuelve el azúcar morena en el vinagre, la soya y el líquido del encurtido.</t>
  </si>
  <si>
    <t>2. Licúa esa mezcla con la mitad del jalapeño y las especias.</t>
  </si>
  <si>
    <t>3. Incorpora a la mayonesa con espátula (sin licuar la mayo). Agrega el resto del jalapeño picado.</t>
  </si>
  <si>
    <t>4. Mide el pH: objetivo 4,2 o menos (si no, agrega vinagre de 5 en 5 g).</t>
  </si>
  <si>
    <t>5. Envasa hermético, etiqueta con fecha y lote, refrigera a 4 °C o menos. Reposo de 12 h antes de servir.</t>
  </si>
  <si>
    <t>6. Vida útil: 7 días refrigerada hasta validarla con un laboratorio.</t>
  </si>
  <si>
    <t>FUENTES</t>
  </si>
  <si>
    <t>Pernil Tunja: https://www.agronegocios.co/precios/pernil-sin-hueso-de-cerdo/andina/boyaca/tunja</t>
  </si>
  <si>
    <t>Papa criolla Tunja: https://www.agronegocios.co/precios/papa-criolla/andina/boyaca/tunja</t>
  </si>
  <si>
    <t>Salsa Carnitas — lote de ~1 kg</t>
  </si>
  <si>
    <t>Ingrediente</t>
  </si>
  <si>
    <t>Cantidad (g)</t>
  </si>
  <si>
    <t>Precio por kg (COP)</t>
  </si>
  <si>
    <t>Costo en el lote (COP)</t>
  </si>
  <si>
    <t>Nota</t>
  </si>
  <si>
    <t>Mayonesa comercial (institucional)</t>
  </si>
  <si>
    <t>Estimado</t>
  </si>
  <si>
    <t>Jalapeño encurtido escurrido</t>
  </si>
  <si>
    <t>Estimado; mitad licuado, mitad picado</t>
  </si>
  <si>
    <t>Vinagre de manzana</t>
  </si>
  <si>
    <t>Salsa de soya</t>
  </si>
  <si>
    <t>Azúcar morena</t>
  </si>
  <si>
    <t>Estimado; disolver antes de mezclar</t>
  </si>
  <si>
    <t>Líquido del encurtido</t>
  </si>
  <si>
    <t>Viene con el jalapeño</t>
  </si>
  <si>
    <t>Paprika ahumada</t>
  </si>
  <si>
    <t>Ajo en polvo</t>
  </si>
  <si>
    <t>Cebolla en polvo</t>
  </si>
  <si>
    <t>Pimienta negra molida</t>
  </si>
  <si>
    <t>Orégano seco</t>
  </si>
  <si>
    <t>Total del lote</t>
  </si>
  <si>
    <t>Costo por kg de salsa</t>
  </si>
  <si>
    <t>Insumos — precios de compra</t>
  </si>
  <si>
    <t>Unidad 'kg': precio por kilo; el costo es por gramo útil. Unidad 'und': precio por unidad o porción.</t>
  </si>
  <si>
    <t>Insumo</t>
  </si>
  <si>
    <t>Unidad</t>
  </si>
  <si>
    <t>Precio de compra (COP)</t>
  </si>
  <si>
    <t>Rendimiento (%)</t>
  </si>
  <si>
    <t>Costo por g o und útil (COP)</t>
  </si>
  <si>
    <t>Fuente / nota</t>
  </si>
  <si>
    <t>Papa pastusa fresca (francesa)</t>
  </si>
  <si>
    <t>kg</t>
  </si>
  <si>
    <t>Estimado; rendimiento = pelado + pérdida de agua al freír</t>
  </si>
  <si>
    <t>Papa criolla</t>
  </si>
  <si>
    <t>Agronegocios, Tunja, 04-jul-2026</t>
  </si>
  <si>
    <t>Carnitas (pernil sin hueso)</t>
  </si>
  <si>
    <t>Pernil: Agronegocios, Tunja, 04-jul-2026. Rendimiento 50% incluye manteca y condimentos; MÍDELO con tu receta</t>
  </si>
  <si>
    <t>Salchicha</t>
  </si>
  <si>
    <t>Longaniza</t>
  </si>
  <si>
    <t>Tocineta (peso crudo)</t>
  </si>
  <si>
    <t>Estimado; porciones en peso crudo</t>
  </si>
  <si>
    <t>Queso mozzarella</t>
  </si>
  <si>
    <t>Queso Paipa</t>
  </si>
  <si>
    <t>Salsa cheddar</t>
  </si>
  <si>
    <t>Maíz tierno (escurrido)</t>
  </si>
  <si>
    <t>Mazorca desgranada</t>
  </si>
  <si>
    <t>Ripio de papa</t>
  </si>
  <si>
    <t>Aros de cebolla congelados</t>
  </si>
  <si>
    <t>Jalapeño encurtido</t>
  </si>
  <si>
    <t>Piña</t>
  </si>
  <si>
    <t>Estimado; rendimiento sin cáscara ni corazón</t>
  </si>
  <si>
    <t>Salsa Carnitas</t>
  </si>
  <si>
    <t>Viene de la hoja 'Salsa Carnitas'</t>
  </si>
  <si>
    <t>Aceite de fritura (porción)</t>
  </si>
  <si>
    <t>und</t>
  </si>
  <si>
    <t>Estimado por porción personal</t>
  </si>
  <si>
    <t>Empaque personal</t>
  </si>
  <si>
    <t>Estimado: bandeja + tenedor + bolsa</t>
  </si>
  <si>
    <t>Empaque grande</t>
  </si>
  <si>
    <t>Gaseosa 250 ml</t>
  </si>
  <si>
    <t>Frasco 250 g con tapa y etiqueta</t>
  </si>
  <si>
    <t>Fichas técnicas — gramajes y costo por plato</t>
  </si>
  <si>
    <t>1. La Clásica Carnitas</t>
  </si>
  <si>
    <t>Motor de recompra: precio de entrada, salchipapa mejorada con carnitas.</t>
  </si>
  <si>
    <t>Personal: cantidad</t>
  </si>
  <si>
    <t>Personal: costo (COP)</t>
  </si>
  <si>
    <t>Compartir: cantidad</t>
  </si>
  <si>
    <t>Compartir: costo (COP)</t>
  </si>
  <si>
    <t>Costo unitario (COP)</t>
  </si>
  <si>
    <t>TOTAL</t>
  </si>
  <si>
    <t>g / COP</t>
  </si>
  <si>
    <t>2. La Gringa Carnitas</t>
  </si>
  <si>
    <t>Público de hamburguesa: queso + tocineta, el mejor margen. Ofrecer versión picante.</t>
  </si>
  <si>
    <t>3. La Boyacense</t>
  </si>
  <si>
    <t>Plato firma: papa criolla, longaniza y queso Paipa. Lo que nadie más tiene.</t>
  </si>
  <si>
    <t>Resumen del menú — precios y márgenes</t>
  </si>
  <si>
    <t>% de costo objetivo</t>
  </si>
  <si>
    <t>Rango sano: 33%–38% en platos personales; hasta ~40% en platos para compartir.</t>
  </si>
  <si>
    <t>Comisión de apps (Rappi/DiDi)</t>
  </si>
  <si>
    <t>Estimado: suele estar entre 20% y 30%. Confírmalo con cada plataforma.</t>
  </si>
  <si>
    <t>Plato</t>
  </si>
  <si>
    <t>Tamaño</t>
  </si>
  <si>
    <t>Peso (g)</t>
  </si>
  <si>
    <t>Costo (COP)</t>
  </si>
  <si>
    <t>Precio de venta (COP)</t>
  </si>
  <si>
    <t>% costo</t>
  </si>
  <si>
    <t>Ganancia bruta (COP)</t>
  </si>
  <si>
    <t>Precio sugerido por % objetivo</t>
  </si>
  <si>
    <t>Precio sugerido en apps</t>
  </si>
  <si>
    <t>La Clásica Carnitas</t>
  </si>
  <si>
    <t>Personal</t>
  </si>
  <si>
    <t>Para compartir (2)</t>
  </si>
  <si>
    <t>La Gringa Carnitas</t>
  </si>
  <si>
    <t>La Boyacense</t>
  </si>
  <si>
    <t>Notas</t>
  </si>
  <si>
    <t>• Los precios sugeridos redondean hacia arriba y terminan en 900 (ej. $18.900), como se acostumbra en Colombia.</t>
  </si>
  <si>
    <t>• Ganancia bruta = precio − costo de comida y empaque. No incluye arriendo, nómina ni servicios.</t>
  </si>
  <si>
    <t>• Combo Clásica + gaseosa y extras: ver la hoja 'Extras'.</t>
  </si>
  <si>
    <t>Extras, combo y salsa para llevar</t>
  </si>
  <si>
    <t>Extra</t>
  </si>
  <si>
    <t>Cantidad</t>
  </si>
  <si>
    <t>Ganancia (COP)</t>
  </si>
  <si>
    <t>Carnitas extra</t>
  </si>
  <si>
    <t>Queso Paipa extra</t>
  </si>
  <si>
    <t>Tocineta extra</t>
  </si>
  <si>
    <t>Piña asada</t>
  </si>
  <si>
    <t>Salsa Carnitas extra (2 oz)</t>
  </si>
  <si>
    <t>Versión picante (jalapeño)</t>
  </si>
  <si>
    <t>Frasco Salsa Carnitas 250 g</t>
  </si>
  <si>
    <t>Salsa Carnitas + frasco</t>
  </si>
  <si>
    <t>Combo Clásica + gaseosa 250 ml</t>
  </si>
  <si>
    <t>Clásica personal + gaseosa</t>
  </si>
  <si>
    <t>Estrategia de recompra</t>
  </si>
  <si>
    <t>• Tarjeta de sellos: a la 8.ª compra, una Clásica gratis.</t>
  </si>
  <si>
    <t>• 10% con carné universitario en la Clásica, de lunes a jueves.</t>
  </si>
  <si>
    <t>• Día fijo de promoción (ej. 'Martes de Boyacense').</t>
  </si>
  <si>
    <t>• Frasco de Salsa Carnitas para llevar: ingreso extra y publicidad en casa.</t>
  </si>
  <si>
    <t>• Clima frío: combos con aguapanela o chocolate.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</si>
</sst>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.##0;\(#.##0\);&quot;-&quot;"/>
    <numFmt numFmtId="165" formatCode="&quot;$&quot;#.##0;\(&quot;$&quot;#.##0\);&quot;-&quot;"/>
    <numFmt numFmtId="166" formatCode="#,#00%;\(#,#00%\);&quot;-&quot;"/>
    <numFmt numFmtId="167" formatCode="&quot;$&quot;#.##00;\(&quot;$&quot;#.##00\);&quot;-&quot;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theme="1"/>
      <name val="Arial"/>
      <family val="2"/>
    </font>
    <font>
      <sz val="10"/>
      <color rgb="FF00800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A3E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E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164" fontId="5" fillId="3" borderId="0" xfId="0" applyNumberFormat="1" applyFont="1" applyFill="1"/>
    <xf numFmtId="165" fontId="1" fillId="0" borderId="0" xfId="0" applyNumberFormat="1" applyFont="1"/>
    <xf numFmtId="165" fontId="5" fillId="3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166" fontId="1" fillId="0" borderId="0" xfId="0" applyNumberFormat="1" applyFont="1"/>
    <xf numFmtId="166" fontId="5" fillId="3" borderId="0" xfId="0" applyNumberFormat="1" applyFont="1" applyFill="1"/>
    <xf numFmtId="167" fontId="1" fillId="0" borderId="0" xfId="0" applyNumberFormat="1" applyFont="1"/>
    <xf numFmtId="165" fontId="7" fillId="0" borderId="0" xfId="0" applyNumberFormat="1" applyFont="1"/>
    <xf numFmtId="0" fontId="8" fillId="4" borderId="0" xfId="0" applyFont="1" applyFill="1"/>
    <xf numFmtId="0" fontId="1" fillId="4" borderId="0" xfId="0" applyFont="1" applyFill="1"/>
    <xf numFmtId="0" fontId="7" fillId="0" borderId="0" xfId="0" applyFont="1"/>
    <xf numFmtId="167" fontId="7" fillId="0" borderId="0" xfId="0" applyNumberFormat="1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B703-E291-4D77-A203-FAF6BF6FCE10}">
  <dimension ref="A1:A40"/>
  <sheetViews>
    <sheetView tabSelected="1" workbookViewId="0"/>
  </sheetViews>
  <sheetFormatPr baseColWidth="10" defaultRowHeight="13.2" x14ac:dyDescent="0.25"/>
  <cols>
    <col min="1" max="1" width="120.77734375" style="1" customWidth="1"/>
    <col min="2" max="16384" width="11.5546875" style="1"/>
  </cols>
  <sheetData>
    <row r="1" spans="1:1" ht="17.399999999999999" x14ac:dyDescent="0.3">
      <c r="A1" s="3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10" spans="1:1" x14ac:dyDescent="0.25">
      <c r="A10" s="2" t="s">
        <v>7</v>
      </c>
    </row>
    <row r="11" spans="1:1" x14ac:dyDescent="0.25">
      <c r="A11" s="1" t="s">
        <v>8</v>
      </c>
    </row>
    <row r="13" spans="1:1" x14ac:dyDescent="0.25">
      <c r="A13" s="2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9" spans="1:1" x14ac:dyDescent="0.25">
      <c r="A19" s="2" t="s">
        <v>14</v>
      </c>
    </row>
    <row r="20" spans="1:1" x14ac:dyDescent="0.25">
      <c r="A20" s="1" t="s">
        <v>15</v>
      </c>
    </row>
    <row r="21" spans="1:1" x14ac:dyDescent="0.25">
      <c r="A21" s="1" t="s">
        <v>16</v>
      </c>
    </row>
    <row r="22" spans="1:1" x14ac:dyDescent="0.25">
      <c r="A22" s="1" t="s">
        <v>17</v>
      </c>
    </row>
    <row r="24" spans="1:1" x14ac:dyDescent="0.25">
      <c r="A24" s="2" t="s">
        <v>18</v>
      </c>
    </row>
    <row r="25" spans="1:1" x14ac:dyDescent="0.25">
      <c r="A25" s="1" t="s">
        <v>19</v>
      </c>
    </row>
    <row r="26" spans="1:1" x14ac:dyDescent="0.25">
      <c r="A26" s="1" t="s">
        <v>20</v>
      </c>
    </row>
    <row r="27" spans="1:1" x14ac:dyDescent="0.25">
      <c r="A27" s="1" t="s">
        <v>21</v>
      </c>
    </row>
    <row r="28" spans="1:1" x14ac:dyDescent="0.25">
      <c r="A28" s="1" t="s">
        <v>22</v>
      </c>
    </row>
    <row r="30" spans="1:1" x14ac:dyDescent="0.25">
      <c r="A30" s="2" t="s">
        <v>23</v>
      </c>
    </row>
    <row r="31" spans="1:1" x14ac:dyDescent="0.25">
      <c r="A31" s="1" t="s">
        <v>24</v>
      </c>
    </row>
    <row r="32" spans="1:1" x14ac:dyDescent="0.25">
      <c r="A32" s="1" t="s">
        <v>25</v>
      </c>
    </row>
    <row r="33" spans="1:1" x14ac:dyDescent="0.25">
      <c r="A33" s="1" t="s">
        <v>26</v>
      </c>
    </row>
    <row r="34" spans="1:1" x14ac:dyDescent="0.25">
      <c r="A34" s="1" t="s">
        <v>27</v>
      </c>
    </row>
    <row r="35" spans="1:1" x14ac:dyDescent="0.25">
      <c r="A35" s="1" t="s">
        <v>28</v>
      </c>
    </row>
    <row r="36" spans="1:1" x14ac:dyDescent="0.25">
      <c r="A36" s="1" t="s">
        <v>29</v>
      </c>
    </row>
    <row r="38" spans="1:1" x14ac:dyDescent="0.25">
      <c r="A38" s="2" t="s">
        <v>30</v>
      </c>
    </row>
    <row r="39" spans="1:1" x14ac:dyDescent="0.25">
      <c r="A39" s="1" t="s">
        <v>31</v>
      </c>
    </row>
    <row r="40" spans="1:1" x14ac:dyDescent="0.25">
      <c r="A40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B1F4-2B19-4169-B08C-B72E24B838B5}">
  <dimension ref="A1:I17"/>
  <sheetViews>
    <sheetView workbookViewId="0"/>
  </sheetViews>
  <sheetFormatPr baseColWidth="10" defaultRowHeight="13.2" x14ac:dyDescent="0.25"/>
  <cols>
    <col min="1" max="1" width="26.77734375" style="1" customWidth="1"/>
    <col min="2" max="2" width="20.77734375" style="1" customWidth="1"/>
    <col min="3" max="3" width="11.77734375" style="1" customWidth="1"/>
    <col min="4" max="4" width="14.77734375" style="1" customWidth="1"/>
    <col min="5" max="5" width="18.77734375" style="1" customWidth="1"/>
    <col min="6" max="6" width="10.77734375" style="1" customWidth="1"/>
    <col min="7" max="7" width="18.77734375" style="1" customWidth="1"/>
    <col min="8" max="8" width="20.77734375" style="1" customWidth="1"/>
    <col min="9" max="9" width="18.77734375" style="1" customWidth="1"/>
    <col min="10" max="16384" width="11.5546875" style="1"/>
  </cols>
  <sheetData>
    <row r="1" spans="1:9" ht="17.399999999999999" x14ac:dyDescent="0.3">
      <c r="A1" s="3" t="s">
        <v>109</v>
      </c>
    </row>
    <row r="3" spans="1:9" x14ac:dyDescent="0.25">
      <c r="A3" s="2" t="s">
        <v>110</v>
      </c>
      <c r="B3" s="13">
        <v>0.35</v>
      </c>
      <c r="C3" s="1" t="s">
        <v>111</v>
      </c>
    </row>
    <row r="4" spans="1:9" x14ac:dyDescent="0.25">
      <c r="A4" s="2" t="s">
        <v>112</v>
      </c>
      <c r="B4" s="13">
        <v>0.25</v>
      </c>
      <c r="C4" s="1" t="s">
        <v>113</v>
      </c>
    </row>
    <row r="6" spans="1:9" ht="30" customHeight="1" x14ac:dyDescent="0.25">
      <c r="A6" s="4" t="s">
        <v>114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119</v>
      </c>
      <c r="G6" s="4" t="s">
        <v>120</v>
      </c>
      <c r="H6" s="4" t="s">
        <v>121</v>
      </c>
      <c r="I6" s="4" t="s">
        <v>122</v>
      </c>
    </row>
    <row r="7" spans="1:9" x14ac:dyDescent="0.25">
      <c r="A7" s="1" t="s">
        <v>123</v>
      </c>
      <c r="B7" s="1" t="s">
        <v>124</v>
      </c>
      <c r="C7" s="20">
        <f>'Fichas técnicas'!C16</f>
        <v>470</v>
      </c>
      <c r="D7" s="15">
        <f>'Fichas técnicas'!D16</f>
        <v>7396.9187890872836</v>
      </c>
      <c r="E7" s="8">
        <v>18900</v>
      </c>
      <c r="F7" s="12">
        <f>IF(E7=0,0,D7/E7)</f>
        <v>0.39137136450197269</v>
      </c>
      <c r="G7" s="7">
        <f>E7-D7</f>
        <v>11503.081210912716</v>
      </c>
      <c r="H7" s="7">
        <f>IF($B$3=0,0,CEILING(D7/$B$3,1000)-100)</f>
        <v>21900</v>
      </c>
      <c r="I7" s="7">
        <f>IF($B$4&gt;=1,0,CEILING(E7/(1-$B$4),1000)-100)</f>
        <v>25900</v>
      </c>
    </row>
    <row r="8" spans="1:9" x14ac:dyDescent="0.25">
      <c r="A8" s="1" t="s">
        <v>123</v>
      </c>
      <c r="B8" s="1" t="s">
        <v>125</v>
      </c>
      <c r="C8" s="20">
        <f>'Fichas técnicas'!E16</f>
        <v>940</v>
      </c>
      <c r="D8" s="15">
        <f>'Fichas técnicas'!F16</f>
        <v>14293.837578174567</v>
      </c>
      <c r="E8" s="8">
        <v>36900</v>
      </c>
      <c r="F8" s="12">
        <f>IF(E8=0,0,D8/E8)</f>
        <v>0.38736687203725112</v>
      </c>
      <c r="G8" s="7">
        <f>E8-D8</f>
        <v>22606.162421825433</v>
      </c>
      <c r="H8" s="7">
        <f>IF($B$3=0,0,CEILING(D8/$B$3,1000)-100)</f>
        <v>40900</v>
      </c>
      <c r="I8" s="7">
        <f>IF($B$4&gt;=1,0,CEILING(E8/(1-$B$4),1000)-100)</f>
        <v>49900</v>
      </c>
    </row>
    <row r="9" spans="1:9" x14ac:dyDescent="0.25">
      <c r="A9" s="1" t="s">
        <v>126</v>
      </c>
      <c r="B9" s="1" t="s">
        <v>124</v>
      </c>
      <c r="C9" s="20">
        <f>'Fichas técnicas'!C32</f>
        <v>510</v>
      </c>
      <c r="D9" s="15">
        <f>'Fichas técnicas'!D32</f>
        <v>9339.7253693465063</v>
      </c>
      <c r="E9" s="8">
        <v>26900</v>
      </c>
      <c r="F9" s="12">
        <f>IF(E9=0,0,D9/E9)</f>
        <v>0.34720168659280692</v>
      </c>
      <c r="G9" s="7">
        <f>E9-D9</f>
        <v>17560.274630653494</v>
      </c>
      <c r="H9" s="7">
        <f>IF($B$3=0,0,CEILING(D9/$B$3,1000)-100)</f>
        <v>26900</v>
      </c>
      <c r="I9" s="7">
        <f>IF($B$4&gt;=1,0,CEILING(E9/(1-$B$4),1000)-100)</f>
        <v>35900</v>
      </c>
    </row>
    <row r="10" spans="1:9" x14ac:dyDescent="0.25">
      <c r="A10" s="1" t="s">
        <v>126</v>
      </c>
      <c r="B10" s="1" t="s">
        <v>125</v>
      </c>
      <c r="C10" s="20">
        <f>'Fichas técnicas'!E32</f>
        <v>1020</v>
      </c>
      <c r="D10" s="15">
        <f>'Fichas técnicas'!F32</f>
        <v>18179.450738693013</v>
      </c>
      <c r="E10" s="8">
        <v>47900</v>
      </c>
      <c r="F10" s="12">
        <f>IF(E10=0,0,D10/E10)</f>
        <v>0.37952924297897728</v>
      </c>
      <c r="G10" s="7">
        <f>E10-D10</f>
        <v>29720.549261306987</v>
      </c>
      <c r="H10" s="7">
        <f>IF($B$3=0,0,CEILING(D10/$B$3,1000)-100)</f>
        <v>51900</v>
      </c>
      <c r="I10" s="7">
        <f>IF($B$4&gt;=1,0,CEILING(E10/(1-$B$4),1000)-100)</f>
        <v>63900</v>
      </c>
    </row>
    <row r="11" spans="1:9" x14ac:dyDescent="0.25">
      <c r="A11" s="1" t="s">
        <v>127</v>
      </c>
      <c r="B11" s="1" t="s">
        <v>124</v>
      </c>
      <c r="C11" s="20">
        <f>'Fichas técnicas'!C49</f>
        <v>610</v>
      </c>
      <c r="D11" s="15">
        <f>'Fichas técnicas'!D49</f>
        <v>10331.868910016363</v>
      </c>
      <c r="E11" s="8">
        <v>27900</v>
      </c>
      <c r="F11" s="12">
        <f>IF(E11=0,0,D11/E11)</f>
        <v>0.37031788207943955</v>
      </c>
      <c r="G11" s="7">
        <f>E11-D11</f>
        <v>17568.131089983639</v>
      </c>
      <c r="H11" s="7">
        <f>IF($B$3=0,0,CEILING(D11/$B$3,1000)-100)</f>
        <v>29900</v>
      </c>
      <c r="I11" s="7">
        <f>IF($B$4&gt;=1,0,CEILING(E11/(1-$B$4),1000)-100)</f>
        <v>37900</v>
      </c>
    </row>
    <row r="12" spans="1:9" x14ac:dyDescent="0.25">
      <c r="A12" s="1" t="s">
        <v>127</v>
      </c>
      <c r="B12" s="1" t="s">
        <v>125</v>
      </c>
      <c r="C12" s="20">
        <f>'Fichas técnicas'!E49</f>
        <v>1220</v>
      </c>
      <c r="D12" s="15">
        <f>'Fichas técnicas'!F49</f>
        <v>20163.737820032726</v>
      </c>
      <c r="E12" s="8">
        <v>49900</v>
      </c>
      <c r="F12" s="12">
        <f>IF(E12=0,0,D12/E12)</f>
        <v>0.4040829222451448</v>
      </c>
      <c r="G12" s="7">
        <f>E12-D12</f>
        <v>29736.262179967274</v>
      </c>
      <c r="H12" s="7">
        <f>IF($B$3=0,0,CEILING(D12/$B$3,1000)-100)</f>
        <v>57900</v>
      </c>
      <c r="I12" s="7">
        <f>IF($B$4&gt;=1,0,CEILING(E12/(1-$B$4),1000)-100)</f>
        <v>66900</v>
      </c>
    </row>
    <row r="14" spans="1:9" x14ac:dyDescent="0.25">
      <c r="A14" s="2" t="s">
        <v>128</v>
      </c>
    </row>
    <row r="15" spans="1:9" x14ac:dyDescent="0.25">
      <c r="A15" s="1" t="s">
        <v>129</v>
      </c>
    </row>
    <row r="16" spans="1:9" x14ac:dyDescent="0.25">
      <c r="A16" s="1" t="s">
        <v>130</v>
      </c>
    </row>
    <row r="17" spans="1:1" x14ac:dyDescent="0.25">
      <c r="A17" s="1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A82-7C7F-4FFC-8968-8AB6A197D1DB}">
  <dimension ref="A1:G49"/>
  <sheetViews>
    <sheetView workbookViewId="0"/>
  </sheetViews>
  <sheetFormatPr baseColWidth="10" defaultRowHeight="13.2" x14ac:dyDescent="0.25"/>
  <cols>
    <col min="1" max="1" width="34.77734375" style="1" customWidth="1"/>
    <col min="2" max="2" width="9.77734375" style="1" customWidth="1"/>
    <col min="3" max="3" width="14.77734375" style="1" customWidth="1"/>
    <col min="4" max="4" width="16.77734375" style="1" customWidth="1"/>
    <col min="5" max="5" width="14.77734375" style="1" customWidth="1"/>
    <col min="6" max="7" width="16.77734375" style="1" customWidth="1"/>
    <col min="8" max="16384" width="11.5546875" style="1"/>
  </cols>
  <sheetData>
    <row r="1" spans="1:7" ht="17.399999999999999" x14ac:dyDescent="0.3">
      <c r="A1" s="3" t="s">
        <v>95</v>
      </c>
    </row>
    <row r="3" spans="1:7" ht="15.6" x14ac:dyDescent="0.3">
      <c r="A3" s="16" t="s">
        <v>96</v>
      </c>
      <c r="B3" s="17"/>
      <c r="C3" s="17"/>
      <c r="D3" s="17"/>
      <c r="E3" s="17"/>
      <c r="F3" s="17"/>
      <c r="G3" s="17"/>
    </row>
    <row r="4" spans="1:7" x14ac:dyDescent="0.25">
      <c r="A4" s="11" t="s">
        <v>97</v>
      </c>
    </row>
    <row r="5" spans="1:7" ht="30" customHeight="1" x14ac:dyDescent="0.25">
      <c r="A5" s="4" t="s">
        <v>34</v>
      </c>
      <c r="B5" s="4" t="s">
        <v>59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</row>
    <row r="6" spans="1:7" x14ac:dyDescent="0.25">
      <c r="A6" s="1" t="s">
        <v>64</v>
      </c>
      <c r="B6" s="18" t="str">
        <f>IF(INDEX(Insumos!$B$5:$B$25,MATCH(A6,Insumos!$A$5:$A$25,0))="kg","g","und")</f>
        <v>g</v>
      </c>
      <c r="C6" s="6">
        <v>250</v>
      </c>
      <c r="D6" s="7">
        <f>C6*G6</f>
        <v>727.27272727272725</v>
      </c>
      <c r="E6" s="6">
        <v>500</v>
      </c>
      <c r="F6" s="7">
        <f>E6*G6</f>
        <v>1454.5454545454545</v>
      </c>
      <c r="G6" s="19">
        <f>INDEX(Insumos!$E$5:$E$25,MATCH(A6,Insumos!$A$5:$A$25,0))</f>
        <v>2.9090909090909092</v>
      </c>
    </row>
    <row r="7" spans="1:7" x14ac:dyDescent="0.25">
      <c r="A7" s="1" t="s">
        <v>87</v>
      </c>
      <c r="B7" s="18" t="str">
        <f>IF(INDEX(Insumos!$B$5:$B$25,MATCH(A7,Insumos!$A$5:$A$25,0))="kg","g","und")</f>
        <v>und</v>
      </c>
      <c r="C7" s="6">
        <v>1</v>
      </c>
      <c r="D7" s="7">
        <f>C7*G7</f>
        <v>500</v>
      </c>
      <c r="E7" s="6">
        <v>2</v>
      </c>
      <c r="F7" s="7">
        <f>E7*G7</f>
        <v>1000</v>
      </c>
      <c r="G7" s="19">
        <f>INDEX(Insumos!$E$5:$E$25,MATCH(A7,Insumos!$A$5:$A$25,0))</f>
        <v>500</v>
      </c>
    </row>
    <row r="8" spans="1:7" x14ac:dyDescent="0.25">
      <c r="A8" s="1" t="s">
        <v>69</v>
      </c>
      <c r="B8" s="18" t="str">
        <f>IF(INDEX(Insumos!$B$5:$B$25,MATCH(A8,Insumos!$A$5:$A$25,0))="kg","g","und")</f>
        <v>g</v>
      </c>
      <c r="C8" s="6">
        <v>60</v>
      </c>
      <c r="D8" s="7">
        <f>C8*G8</f>
        <v>2040</v>
      </c>
      <c r="E8" s="6">
        <v>120</v>
      </c>
      <c r="F8" s="7">
        <f>E8*G8</f>
        <v>4080</v>
      </c>
      <c r="G8" s="19">
        <f>INDEX(Insumos!$E$5:$E$25,MATCH(A8,Insumos!$A$5:$A$25,0))</f>
        <v>34</v>
      </c>
    </row>
    <row r="9" spans="1:7" x14ac:dyDescent="0.25">
      <c r="A9" s="1" t="s">
        <v>71</v>
      </c>
      <c r="B9" s="18" t="str">
        <f>IF(INDEX(Insumos!$B$5:$B$25,MATCH(A9,Insumos!$A$5:$A$25,0))="kg","g","und")</f>
        <v>g</v>
      </c>
      <c r="C9" s="6">
        <v>50</v>
      </c>
      <c r="D9" s="7">
        <f>C9*G9</f>
        <v>900</v>
      </c>
      <c r="E9" s="6">
        <v>100</v>
      </c>
      <c r="F9" s="7">
        <f>E9*G9</f>
        <v>1800</v>
      </c>
      <c r="G9" s="19">
        <f>INDEX(Insumos!$E$5:$E$25,MATCH(A9,Insumos!$A$5:$A$25,0))</f>
        <v>18</v>
      </c>
    </row>
    <row r="10" spans="1:7" x14ac:dyDescent="0.25">
      <c r="A10" s="1" t="s">
        <v>75</v>
      </c>
      <c r="B10" s="18" t="str">
        <f>IF(INDEX(Insumos!$B$5:$B$25,MATCH(A10,Insumos!$A$5:$A$25,0))="kg","g","und")</f>
        <v>g</v>
      </c>
      <c r="C10" s="6">
        <v>40</v>
      </c>
      <c r="D10" s="7">
        <f>C10*G10</f>
        <v>1120</v>
      </c>
      <c r="E10" s="6">
        <v>80</v>
      </c>
      <c r="F10" s="7">
        <f>E10*G10</f>
        <v>2240</v>
      </c>
      <c r="G10" s="19">
        <f>INDEX(Insumos!$E$5:$E$25,MATCH(A10,Insumos!$A$5:$A$25,0))</f>
        <v>28</v>
      </c>
    </row>
    <row r="11" spans="1:7" x14ac:dyDescent="0.25">
      <c r="A11" s="1" t="s">
        <v>78</v>
      </c>
      <c r="B11" s="18" t="str">
        <f>IF(INDEX(Insumos!$B$5:$B$25,MATCH(A11,Insumos!$A$5:$A$25,0))="kg","g","und")</f>
        <v>g</v>
      </c>
      <c r="C11" s="6">
        <v>25</v>
      </c>
      <c r="D11" s="7">
        <f>C11*G11</f>
        <v>400</v>
      </c>
      <c r="E11" s="6">
        <v>50</v>
      </c>
      <c r="F11" s="7">
        <f>E11*G11</f>
        <v>800</v>
      </c>
      <c r="G11" s="19">
        <f>INDEX(Insumos!$E$5:$E$25,MATCH(A11,Insumos!$A$5:$A$25,0))</f>
        <v>16</v>
      </c>
    </row>
    <row r="12" spans="1:7" x14ac:dyDescent="0.25">
      <c r="A12" s="1" t="s">
        <v>80</v>
      </c>
      <c r="B12" s="18" t="str">
        <f>IF(INDEX(Insumos!$B$5:$B$25,MATCH(A12,Insumos!$A$5:$A$25,0))="kg","g","und")</f>
        <v>g</v>
      </c>
      <c r="C12" s="6">
        <v>10</v>
      </c>
      <c r="D12" s="7">
        <f>C12*G12</f>
        <v>200</v>
      </c>
      <c r="E12" s="6">
        <v>20</v>
      </c>
      <c r="F12" s="7">
        <f>E12*G12</f>
        <v>400</v>
      </c>
      <c r="G12" s="19">
        <f>INDEX(Insumos!$E$5:$E$25,MATCH(A12,Insumos!$A$5:$A$25,0))</f>
        <v>20</v>
      </c>
    </row>
    <row r="13" spans="1:7" x14ac:dyDescent="0.25">
      <c r="A13" s="1" t="s">
        <v>85</v>
      </c>
      <c r="B13" s="18" t="str">
        <f>IF(INDEX(Insumos!$B$5:$B$25,MATCH(A13,Insumos!$A$5:$A$25,0))="kg","g","und")</f>
        <v>g</v>
      </c>
      <c r="C13" s="6">
        <v>35</v>
      </c>
      <c r="D13" s="7">
        <f>C13*G13</f>
        <v>509.64606181455633</v>
      </c>
      <c r="E13" s="6">
        <v>70</v>
      </c>
      <c r="F13" s="7">
        <f>E13*G13</f>
        <v>1019.2921236291127</v>
      </c>
      <c r="G13" s="19">
        <f>INDEX(Insumos!$E$5:$E$25,MATCH(A13,Insumos!$A$5:$A$25,0))</f>
        <v>14.561316051844466</v>
      </c>
    </row>
    <row r="14" spans="1:7" x14ac:dyDescent="0.25">
      <c r="A14" s="1" t="s">
        <v>90</v>
      </c>
      <c r="B14" s="18" t="str">
        <f>IF(INDEX(Insumos!$B$5:$B$25,MATCH(A14,Insumos!$A$5:$A$25,0))="kg","g","und")</f>
        <v>und</v>
      </c>
      <c r="C14" s="6">
        <v>1</v>
      </c>
      <c r="D14" s="7">
        <f>C14*G14</f>
        <v>1000</v>
      </c>
      <c r="E14" s="6">
        <v>0</v>
      </c>
      <c r="F14" s="7">
        <f>E14*G14</f>
        <v>0</v>
      </c>
      <c r="G14" s="19">
        <f>INDEX(Insumos!$E$5:$E$25,MATCH(A14,Insumos!$A$5:$A$25,0))</f>
        <v>1000</v>
      </c>
    </row>
    <row r="15" spans="1:7" x14ac:dyDescent="0.25">
      <c r="A15" s="1" t="s">
        <v>92</v>
      </c>
      <c r="B15" s="18" t="str">
        <f>IF(INDEX(Insumos!$B$5:$B$25,MATCH(A15,Insumos!$A$5:$A$25,0))="kg","g","und")</f>
        <v>und</v>
      </c>
      <c r="C15" s="6">
        <v>0</v>
      </c>
      <c r="D15" s="7">
        <f>C15*G15</f>
        <v>0</v>
      </c>
      <c r="E15" s="6">
        <v>1</v>
      </c>
      <c r="F15" s="7">
        <f>E15*G15</f>
        <v>1500</v>
      </c>
      <c r="G15" s="19">
        <f>INDEX(Insumos!$E$5:$E$25,MATCH(A15,Insumos!$A$5:$A$25,0))</f>
        <v>1500</v>
      </c>
    </row>
    <row r="16" spans="1:7" x14ac:dyDescent="0.25">
      <c r="A16" s="2" t="s">
        <v>103</v>
      </c>
      <c r="B16" s="2" t="s">
        <v>104</v>
      </c>
      <c r="C16" s="9">
        <f>SUMIF(B6:B15,"g",C6:C15)</f>
        <v>470</v>
      </c>
      <c r="D16" s="10">
        <f>SUM(D6:D15)</f>
        <v>7396.9187890872836</v>
      </c>
      <c r="E16" s="9">
        <f>SUMIF(B6:B15,"g",E6:E15)</f>
        <v>940</v>
      </c>
      <c r="F16" s="10">
        <f>SUM(F6:F15)</f>
        <v>14293.837578174567</v>
      </c>
    </row>
    <row r="19" spans="1:7" ht="15.6" x14ac:dyDescent="0.3">
      <c r="A19" s="16" t="s">
        <v>105</v>
      </c>
      <c r="B19" s="17"/>
      <c r="C19" s="17"/>
      <c r="D19" s="17"/>
      <c r="E19" s="17"/>
      <c r="F19" s="17"/>
      <c r="G19" s="17"/>
    </row>
    <row r="20" spans="1:7" x14ac:dyDescent="0.25">
      <c r="A20" s="11" t="s">
        <v>106</v>
      </c>
    </row>
    <row r="21" spans="1:7" ht="30" customHeight="1" x14ac:dyDescent="0.25">
      <c r="A21" s="4" t="s">
        <v>34</v>
      </c>
      <c r="B21" s="4" t="s">
        <v>59</v>
      </c>
      <c r="C21" s="4" t="s">
        <v>98</v>
      </c>
      <c r="D21" s="4" t="s">
        <v>99</v>
      </c>
      <c r="E21" s="4" t="s">
        <v>100</v>
      </c>
      <c r="F21" s="4" t="s">
        <v>101</v>
      </c>
      <c r="G21" s="4" t="s">
        <v>102</v>
      </c>
    </row>
    <row r="22" spans="1:7" x14ac:dyDescent="0.25">
      <c r="A22" s="1" t="s">
        <v>64</v>
      </c>
      <c r="B22" s="18" t="str">
        <f>IF(INDEX(Insumos!$B$5:$B$25,MATCH(A22,Insumos!$A$5:$A$25,0))="kg","g","und")</f>
        <v>g</v>
      </c>
      <c r="C22" s="6">
        <v>250</v>
      </c>
      <c r="D22" s="7">
        <f>C22*G22</f>
        <v>727.27272727272725</v>
      </c>
      <c r="E22" s="6">
        <v>500</v>
      </c>
      <c r="F22" s="7">
        <f>E22*G22</f>
        <v>1454.5454545454545</v>
      </c>
      <c r="G22" s="19">
        <f>INDEX(Insumos!$E$5:$E$25,MATCH(A22,Insumos!$A$5:$A$25,0))</f>
        <v>2.9090909090909092</v>
      </c>
    </row>
    <row r="23" spans="1:7" x14ac:dyDescent="0.25">
      <c r="A23" s="1" t="s">
        <v>87</v>
      </c>
      <c r="B23" s="18" t="str">
        <f>IF(INDEX(Insumos!$B$5:$B$25,MATCH(A23,Insumos!$A$5:$A$25,0))="kg","g","und")</f>
        <v>und</v>
      </c>
      <c r="C23" s="6">
        <v>1</v>
      </c>
      <c r="D23" s="7">
        <f>C23*G23</f>
        <v>500</v>
      </c>
      <c r="E23" s="6">
        <v>2</v>
      </c>
      <c r="F23" s="7">
        <f>E23*G23</f>
        <v>1000</v>
      </c>
      <c r="G23" s="19">
        <f>INDEX(Insumos!$E$5:$E$25,MATCH(A23,Insumos!$A$5:$A$25,0))</f>
        <v>500</v>
      </c>
    </row>
    <row r="24" spans="1:7" x14ac:dyDescent="0.25">
      <c r="A24" s="1" t="s">
        <v>69</v>
      </c>
      <c r="B24" s="18" t="str">
        <f>IF(INDEX(Insumos!$B$5:$B$25,MATCH(A24,Insumos!$A$5:$A$25,0))="kg","g","und")</f>
        <v>g</v>
      </c>
      <c r="C24" s="6">
        <v>80</v>
      </c>
      <c r="D24" s="7">
        <f>C24*G24</f>
        <v>2720</v>
      </c>
      <c r="E24" s="6">
        <v>160</v>
      </c>
      <c r="F24" s="7">
        <f>E24*G24</f>
        <v>5440</v>
      </c>
      <c r="G24" s="19">
        <f>INDEX(Insumos!$E$5:$E$25,MATCH(A24,Insumos!$A$5:$A$25,0))</f>
        <v>34</v>
      </c>
    </row>
    <row r="25" spans="1:7" x14ac:dyDescent="0.25">
      <c r="A25" s="1" t="s">
        <v>77</v>
      </c>
      <c r="B25" s="18" t="str">
        <f>IF(INDEX(Insumos!$B$5:$B$25,MATCH(A25,Insumos!$A$5:$A$25,0))="kg","g","und")</f>
        <v>g</v>
      </c>
      <c r="C25" s="6">
        <v>50</v>
      </c>
      <c r="D25" s="7">
        <f>C25*G25</f>
        <v>1500</v>
      </c>
      <c r="E25" s="6">
        <v>100</v>
      </c>
      <c r="F25" s="7">
        <f>E25*G25</f>
        <v>3000</v>
      </c>
      <c r="G25" s="19">
        <f>INDEX(Insumos!$E$5:$E$25,MATCH(A25,Insumos!$A$5:$A$25,0))</f>
        <v>30</v>
      </c>
    </row>
    <row r="26" spans="1:7" x14ac:dyDescent="0.25">
      <c r="A26" s="1" t="s">
        <v>73</v>
      </c>
      <c r="B26" s="18" t="str">
        <f>IF(INDEX(Insumos!$B$5:$B$25,MATCH(A26,Insumos!$A$5:$A$25,0))="kg","g","und")</f>
        <v>g</v>
      </c>
      <c r="C26" s="6">
        <v>25</v>
      </c>
      <c r="D26" s="7">
        <f>C26*G26</f>
        <v>1000</v>
      </c>
      <c r="E26" s="6">
        <v>50</v>
      </c>
      <c r="F26" s="7">
        <f>E26*G26</f>
        <v>2000</v>
      </c>
      <c r="G26" s="19">
        <f>INDEX(Insumos!$E$5:$E$25,MATCH(A26,Insumos!$A$5:$A$25,0))</f>
        <v>40</v>
      </c>
    </row>
    <row r="27" spans="1:7" x14ac:dyDescent="0.25">
      <c r="A27" s="1" t="s">
        <v>81</v>
      </c>
      <c r="B27" s="18" t="str">
        <f>IF(INDEX(Insumos!$B$5:$B$25,MATCH(A27,Insumos!$A$5:$A$25,0))="kg","g","und")</f>
        <v>g</v>
      </c>
      <c r="C27" s="6">
        <v>45</v>
      </c>
      <c r="D27" s="7">
        <f>C27*G27</f>
        <v>810</v>
      </c>
      <c r="E27" s="6">
        <v>90</v>
      </c>
      <c r="F27" s="7">
        <f>E27*G27</f>
        <v>1620</v>
      </c>
      <c r="G27" s="19">
        <f>INDEX(Insumos!$E$5:$E$25,MATCH(A27,Insumos!$A$5:$A$25,0))</f>
        <v>18</v>
      </c>
    </row>
    <row r="28" spans="1:7" x14ac:dyDescent="0.25">
      <c r="A28" s="1" t="s">
        <v>82</v>
      </c>
      <c r="B28" s="18" t="str">
        <f>IF(INDEX(Insumos!$B$5:$B$25,MATCH(A28,Insumos!$A$5:$A$25,0))="kg","g","und")</f>
        <v>g</v>
      </c>
      <c r="C28" s="6">
        <v>20</v>
      </c>
      <c r="D28" s="7">
        <f>C28*G28</f>
        <v>500</v>
      </c>
      <c r="E28" s="6">
        <v>40</v>
      </c>
      <c r="F28" s="7">
        <f>E28*G28</f>
        <v>1000</v>
      </c>
      <c r="G28" s="19">
        <f>INDEX(Insumos!$E$5:$E$25,MATCH(A28,Insumos!$A$5:$A$25,0))</f>
        <v>25</v>
      </c>
    </row>
    <row r="29" spans="1:7" x14ac:dyDescent="0.25">
      <c r="A29" s="1" t="s">
        <v>85</v>
      </c>
      <c r="B29" s="18" t="str">
        <f>IF(INDEX(Insumos!$B$5:$B$25,MATCH(A29,Insumos!$A$5:$A$25,0))="kg","g","und")</f>
        <v>g</v>
      </c>
      <c r="C29" s="6">
        <v>40</v>
      </c>
      <c r="D29" s="7">
        <f>C29*G29</f>
        <v>582.45264207377863</v>
      </c>
      <c r="E29" s="6">
        <v>80</v>
      </c>
      <c r="F29" s="7">
        <f>E29*G29</f>
        <v>1164.9052841475573</v>
      </c>
      <c r="G29" s="19">
        <f>INDEX(Insumos!$E$5:$E$25,MATCH(A29,Insumos!$A$5:$A$25,0))</f>
        <v>14.561316051844466</v>
      </c>
    </row>
    <row r="30" spans="1:7" x14ac:dyDescent="0.25">
      <c r="A30" s="1" t="s">
        <v>90</v>
      </c>
      <c r="B30" s="18" t="str">
        <f>IF(INDEX(Insumos!$B$5:$B$25,MATCH(A30,Insumos!$A$5:$A$25,0))="kg","g","und")</f>
        <v>und</v>
      </c>
      <c r="C30" s="6">
        <v>1</v>
      </c>
      <c r="D30" s="7">
        <f>C30*G30</f>
        <v>1000</v>
      </c>
      <c r="E30" s="6">
        <v>0</v>
      </c>
      <c r="F30" s="7">
        <f>E30*G30</f>
        <v>0</v>
      </c>
      <c r="G30" s="19">
        <f>INDEX(Insumos!$E$5:$E$25,MATCH(A30,Insumos!$A$5:$A$25,0))</f>
        <v>1000</v>
      </c>
    </row>
    <row r="31" spans="1:7" x14ac:dyDescent="0.25">
      <c r="A31" s="1" t="s">
        <v>92</v>
      </c>
      <c r="B31" s="18" t="str">
        <f>IF(INDEX(Insumos!$B$5:$B$25,MATCH(A31,Insumos!$A$5:$A$25,0))="kg","g","und")</f>
        <v>und</v>
      </c>
      <c r="C31" s="6">
        <v>0</v>
      </c>
      <c r="D31" s="7">
        <f>C31*G31</f>
        <v>0</v>
      </c>
      <c r="E31" s="6">
        <v>1</v>
      </c>
      <c r="F31" s="7">
        <f>E31*G31</f>
        <v>1500</v>
      </c>
      <c r="G31" s="19">
        <f>INDEX(Insumos!$E$5:$E$25,MATCH(A31,Insumos!$A$5:$A$25,0))</f>
        <v>1500</v>
      </c>
    </row>
    <row r="32" spans="1:7" x14ac:dyDescent="0.25">
      <c r="A32" s="2" t="s">
        <v>103</v>
      </c>
      <c r="B32" s="2" t="s">
        <v>104</v>
      </c>
      <c r="C32" s="9">
        <f>SUMIF(B22:B31,"g",C22:C31)</f>
        <v>510</v>
      </c>
      <c r="D32" s="10">
        <f>SUM(D22:D31)</f>
        <v>9339.7253693465063</v>
      </c>
      <c r="E32" s="9">
        <f>SUMIF(B22:B31,"g",E22:E31)</f>
        <v>1020</v>
      </c>
      <c r="F32" s="10">
        <f>SUM(F22:F31)</f>
        <v>18179.450738693013</v>
      </c>
    </row>
    <row r="35" spans="1:7" ht="15.6" x14ac:dyDescent="0.3">
      <c r="A35" s="16" t="s">
        <v>107</v>
      </c>
      <c r="B35" s="17"/>
      <c r="C35" s="17"/>
      <c r="D35" s="17"/>
      <c r="E35" s="17"/>
      <c r="F35" s="17"/>
      <c r="G35" s="17"/>
    </row>
    <row r="36" spans="1:7" x14ac:dyDescent="0.25">
      <c r="A36" s="11" t="s">
        <v>108</v>
      </c>
    </row>
    <row r="37" spans="1:7" ht="30" customHeight="1" x14ac:dyDescent="0.25">
      <c r="A37" s="4" t="s">
        <v>34</v>
      </c>
      <c r="B37" s="4" t="s">
        <v>59</v>
      </c>
      <c r="C37" s="4" t="s">
        <v>98</v>
      </c>
      <c r="D37" s="4" t="s">
        <v>99</v>
      </c>
      <c r="E37" s="4" t="s">
        <v>100</v>
      </c>
      <c r="F37" s="4" t="s">
        <v>101</v>
      </c>
      <c r="G37" s="4" t="s">
        <v>102</v>
      </c>
    </row>
    <row r="38" spans="1:7" x14ac:dyDescent="0.25">
      <c r="A38" s="1" t="s">
        <v>67</v>
      </c>
      <c r="B38" s="18" t="str">
        <f>IF(INDEX(Insumos!$B$5:$B$25,MATCH(A38,Insumos!$A$5:$A$25,0))="kg","g","und")</f>
        <v>g</v>
      </c>
      <c r="C38" s="6">
        <v>200</v>
      </c>
      <c r="D38" s="7">
        <f>C38*G38</f>
        <v>1093.0526315789475</v>
      </c>
      <c r="E38" s="6">
        <v>400</v>
      </c>
      <c r="F38" s="7">
        <f>E38*G38</f>
        <v>2186.105263157895</v>
      </c>
      <c r="G38" s="19">
        <f>INDEX(Insumos!$E$5:$E$25,MATCH(A38,Insumos!$A$5:$A$25,0))</f>
        <v>5.4652631578947375</v>
      </c>
    </row>
    <row r="39" spans="1:7" x14ac:dyDescent="0.25">
      <c r="A39" s="1" t="s">
        <v>64</v>
      </c>
      <c r="B39" s="18" t="str">
        <f>IF(INDEX(Insumos!$B$5:$B$25,MATCH(A39,Insumos!$A$5:$A$25,0))="kg","g","und")</f>
        <v>g</v>
      </c>
      <c r="C39" s="6">
        <v>150</v>
      </c>
      <c r="D39" s="7">
        <f>C39*G39</f>
        <v>436.36363636363637</v>
      </c>
      <c r="E39" s="6">
        <v>300</v>
      </c>
      <c r="F39" s="7">
        <f>E39*G39</f>
        <v>872.72727272727275</v>
      </c>
      <c r="G39" s="19">
        <f>INDEX(Insumos!$E$5:$E$25,MATCH(A39,Insumos!$A$5:$A$25,0))</f>
        <v>2.9090909090909092</v>
      </c>
    </row>
    <row r="40" spans="1:7" x14ac:dyDescent="0.25">
      <c r="A40" s="1" t="s">
        <v>87</v>
      </c>
      <c r="B40" s="18" t="str">
        <f>IF(INDEX(Insumos!$B$5:$B$25,MATCH(A40,Insumos!$A$5:$A$25,0))="kg","g","und")</f>
        <v>und</v>
      </c>
      <c r="C40" s="6">
        <v>1</v>
      </c>
      <c r="D40" s="7">
        <f>C40*G40</f>
        <v>500</v>
      </c>
      <c r="E40" s="6">
        <v>2</v>
      </c>
      <c r="F40" s="7">
        <f>E40*G40</f>
        <v>1000</v>
      </c>
      <c r="G40" s="19">
        <f>INDEX(Insumos!$E$5:$E$25,MATCH(A40,Insumos!$A$5:$A$25,0))</f>
        <v>500</v>
      </c>
    </row>
    <row r="41" spans="1:7" x14ac:dyDescent="0.25">
      <c r="A41" s="1" t="s">
        <v>69</v>
      </c>
      <c r="B41" s="18" t="str">
        <f>IF(INDEX(Insumos!$B$5:$B$25,MATCH(A41,Insumos!$A$5:$A$25,0))="kg","g","und")</f>
        <v>g</v>
      </c>
      <c r="C41" s="6">
        <v>60</v>
      </c>
      <c r="D41" s="7">
        <f>C41*G41</f>
        <v>2040</v>
      </c>
      <c r="E41" s="6">
        <v>120</v>
      </c>
      <c r="F41" s="7">
        <f>E41*G41</f>
        <v>4080</v>
      </c>
      <c r="G41" s="19">
        <f>INDEX(Insumos!$E$5:$E$25,MATCH(A41,Insumos!$A$5:$A$25,0))</f>
        <v>34</v>
      </c>
    </row>
    <row r="42" spans="1:7" x14ac:dyDescent="0.25">
      <c r="A42" s="1" t="s">
        <v>72</v>
      </c>
      <c r="B42" s="18" t="str">
        <f>IF(INDEX(Insumos!$B$5:$B$25,MATCH(A42,Insumos!$A$5:$A$25,0))="kg","g","und")</f>
        <v>g</v>
      </c>
      <c r="C42" s="6">
        <v>60</v>
      </c>
      <c r="D42" s="7">
        <f>C42*G42</f>
        <v>1680</v>
      </c>
      <c r="E42" s="6">
        <v>120</v>
      </c>
      <c r="F42" s="7">
        <f>E42*G42</f>
        <v>3360</v>
      </c>
      <c r="G42" s="19">
        <f>INDEX(Insumos!$E$5:$E$25,MATCH(A42,Insumos!$A$5:$A$25,0))</f>
        <v>28</v>
      </c>
    </row>
    <row r="43" spans="1:7" x14ac:dyDescent="0.25">
      <c r="A43" s="1" t="s">
        <v>76</v>
      </c>
      <c r="B43" s="18" t="str">
        <f>IF(INDEX(Insumos!$B$5:$B$25,MATCH(A43,Insumos!$A$5:$A$25,0))="kg","g","und")</f>
        <v>g</v>
      </c>
      <c r="C43" s="6">
        <v>40</v>
      </c>
      <c r="D43" s="7">
        <f>C43*G43</f>
        <v>1800</v>
      </c>
      <c r="E43" s="6">
        <v>80</v>
      </c>
      <c r="F43" s="7">
        <f>E43*G43</f>
        <v>3600</v>
      </c>
      <c r="G43" s="19">
        <f>INDEX(Insumos!$E$5:$E$25,MATCH(A43,Insumos!$A$5:$A$25,0))</f>
        <v>45</v>
      </c>
    </row>
    <row r="44" spans="1:7" x14ac:dyDescent="0.25">
      <c r="A44" s="1" t="s">
        <v>75</v>
      </c>
      <c r="B44" s="18" t="str">
        <f>IF(INDEX(Insumos!$B$5:$B$25,MATCH(A44,Insumos!$A$5:$A$25,0))="kg","g","und")</f>
        <v>g</v>
      </c>
      <c r="C44" s="6">
        <v>30</v>
      </c>
      <c r="D44" s="7">
        <f>C44*G44</f>
        <v>840</v>
      </c>
      <c r="E44" s="6">
        <v>60</v>
      </c>
      <c r="F44" s="7">
        <f>E44*G44</f>
        <v>1680</v>
      </c>
      <c r="G44" s="19">
        <f>INDEX(Insumos!$E$5:$E$25,MATCH(A44,Insumos!$A$5:$A$25,0))</f>
        <v>28</v>
      </c>
    </row>
    <row r="45" spans="1:7" x14ac:dyDescent="0.25">
      <c r="A45" s="1" t="s">
        <v>79</v>
      </c>
      <c r="B45" s="18" t="str">
        <f>IF(INDEX(Insumos!$B$5:$B$25,MATCH(A45,Insumos!$A$5:$A$25,0))="kg","g","und")</f>
        <v>g</v>
      </c>
      <c r="C45" s="6">
        <v>30</v>
      </c>
      <c r="D45" s="7">
        <f>C45*G45</f>
        <v>360</v>
      </c>
      <c r="E45" s="6">
        <v>60</v>
      </c>
      <c r="F45" s="7">
        <f>E45*G45</f>
        <v>720</v>
      </c>
      <c r="G45" s="19">
        <f>INDEX(Insumos!$E$5:$E$25,MATCH(A45,Insumos!$A$5:$A$25,0))</f>
        <v>12</v>
      </c>
    </row>
    <row r="46" spans="1:7" x14ac:dyDescent="0.25">
      <c r="A46" s="1" t="s">
        <v>85</v>
      </c>
      <c r="B46" s="18" t="str">
        <f>IF(INDEX(Insumos!$B$5:$B$25,MATCH(A46,Insumos!$A$5:$A$25,0))="kg","g","und")</f>
        <v>g</v>
      </c>
      <c r="C46" s="6">
        <v>40</v>
      </c>
      <c r="D46" s="7">
        <f>C46*G46</f>
        <v>582.45264207377863</v>
      </c>
      <c r="E46" s="6">
        <v>80</v>
      </c>
      <c r="F46" s="7">
        <f>E46*G46</f>
        <v>1164.9052841475573</v>
      </c>
      <c r="G46" s="19">
        <f>INDEX(Insumos!$E$5:$E$25,MATCH(A46,Insumos!$A$5:$A$25,0))</f>
        <v>14.561316051844466</v>
      </c>
    </row>
    <row r="47" spans="1:7" x14ac:dyDescent="0.25">
      <c r="A47" s="1" t="s">
        <v>90</v>
      </c>
      <c r="B47" s="18" t="str">
        <f>IF(INDEX(Insumos!$B$5:$B$25,MATCH(A47,Insumos!$A$5:$A$25,0))="kg","g","und")</f>
        <v>und</v>
      </c>
      <c r="C47" s="6">
        <v>1</v>
      </c>
      <c r="D47" s="7">
        <f>C47*G47</f>
        <v>1000</v>
      </c>
      <c r="E47" s="6">
        <v>0</v>
      </c>
      <c r="F47" s="7">
        <f>E47*G47</f>
        <v>0</v>
      </c>
      <c r="G47" s="19">
        <f>INDEX(Insumos!$E$5:$E$25,MATCH(A47,Insumos!$A$5:$A$25,0))</f>
        <v>1000</v>
      </c>
    </row>
    <row r="48" spans="1:7" x14ac:dyDescent="0.25">
      <c r="A48" s="1" t="s">
        <v>92</v>
      </c>
      <c r="B48" s="18" t="str">
        <f>IF(INDEX(Insumos!$B$5:$B$25,MATCH(A48,Insumos!$A$5:$A$25,0))="kg","g","und")</f>
        <v>und</v>
      </c>
      <c r="C48" s="6">
        <v>0</v>
      </c>
      <c r="D48" s="7">
        <f>C48*G48</f>
        <v>0</v>
      </c>
      <c r="E48" s="6">
        <v>1</v>
      </c>
      <c r="F48" s="7">
        <f>E48*G48</f>
        <v>1500</v>
      </c>
      <c r="G48" s="19">
        <f>INDEX(Insumos!$E$5:$E$25,MATCH(A48,Insumos!$A$5:$A$25,0))</f>
        <v>1500</v>
      </c>
    </row>
    <row r="49" spans="1:6" x14ac:dyDescent="0.25">
      <c r="A49" s="2" t="s">
        <v>103</v>
      </c>
      <c r="B49" s="2" t="s">
        <v>104</v>
      </c>
      <c r="C49" s="9">
        <f>SUMIF(B38:B48,"g",C38:C48)</f>
        <v>610</v>
      </c>
      <c r="D49" s="10">
        <f>SUM(D38:D48)</f>
        <v>10331.868910016363</v>
      </c>
      <c r="E49" s="9">
        <f>SUMIF(B38:B48,"g",E38:E48)</f>
        <v>1220</v>
      </c>
      <c r="F49" s="10">
        <f>SUM(F38:F48)</f>
        <v>20163.737820032726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FF89-C569-4164-A745-A3F424CF9027}">
  <dimension ref="A1:F25"/>
  <sheetViews>
    <sheetView workbookViewId="0"/>
  </sheetViews>
  <sheetFormatPr baseColWidth="10" defaultRowHeight="13.2" x14ac:dyDescent="0.25"/>
  <cols>
    <col min="1" max="1" width="34.77734375" style="1" customWidth="1"/>
    <col min="2" max="2" width="9.77734375" style="1" customWidth="1"/>
    <col min="3" max="3" width="20.77734375" style="1" customWidth="1"/>
    <col min="4" max="4" width="15.77734375" style="1" customWidth="1"/>
    <col min="5" max="5" width="24.77734375" style="1" customWidth="1"/>
    <col min="6" max="6" width="80.77734375" style="1" customWidth="1"/>
    <col min="7" max="16384" width="11.5546875" style="1"/>
  </cols>
  <sheetData>
    <row r="1" spans="1:6" ht="17.399999999999999" x14ac:dyDescent="0.3">
      <c r="A1" s="3" t="s">
        <v>56</v>
      </c>
    </row>
    <row r="2" spans="1:6" x14ac:dyDescent="0.25">
      <c r="A2" s="11" t="s">
        <v>57</v>
      </c>
    </row>
    <row r="4" spans="1:6" ht="30" customHeight="1" x14ac:dyDescent="0.25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</row>
    <row r="5" spans="1:6" x14ac:dyDescent="0.25">
      <c r="A5" s="1" t="s">
        <v>64</v>
      </c>
      <c r="B5" s="1" t="s">
        <v>65</v>
      </c>
      <c r="C5" s="8">
        <v>1600</v>
      </c>
      <c r="D5" s="13">
        <v>0.55000000000000004</v>
      </c>
      <c r="E5" s="14">
        <f>IF(D5=0,0,IF(B5="kg",C5/1000/D5,C5/D5))</f>
        <v>2.9090909090909092</v>
      </c>
      <c r="F5" s="1" t="s">
        <v>66</v>
      </c>
    </row>
    <row r="6" spans="1:6" x14ac:dyDescent="0.25">
      <c r="A6" s="1" t="s">
        <v>67</v>
      </c>
      <c r="B6" s="1" t="s">
        <v>65</v>
      </c>
      <c r="C6" s="8">
        <v>5192</v>
      </c>
      <c r="D6" s="13">
        <v>0.95</v>
      </c>
      <c r="E6" s="14">
        <f>IF(D6=0,0,IF(B6="kg",C6/1000/D6,C6/D6))</f>
        <v>5.4652631578947375</v>
      </c>
      <c r="F6" s="1" t="s">
        <v>68</v>
      </c>
    </row>
    <row r="7" spans="1:6" x14ac:dyDescent="0.25">
      <c r="A7" s="1" t="s">
        <v>69</v>
      </c>
      <c r="B7" s="1" t="s">
        <v>65</v>
      </c>
      <c r="C7" s="8">
        <v>17000</v>
      </c>
      <c r="D7" s="13">
        <v>0.5</v>
      </c>
      <c r="E7" s="14">
        <f>IF(D7=0,0,IF(B7="kg",C7/1000/D7,C7/D7))</f>
        <v>34</v>
      </c>
      <c r="F7" s="1" t="s">
        <v>70</v>
      </c>
    </row>
    <row r="8" spans="1:6" x14ac:dyDescent="0.25">
      <c r="A8" s="1" t="s">
        <v>71</v>
      </c>
      <c r="B8" s="1" t="s">
        <v>65</v>
      </c>
      <c r="C8" s="8">
        <v>18000</v>
      </c>
      <c r="D8" s="13">
        <v>1</v>
      </c>
      <c r="E8" s="14">
        <f>IF(D8=0,0,IF(B8="kg",C8/1000/D8,C8/D8))</f>
        <v>18</v>
      </c>
      <c r="F8" s="1" t="s">
        <v>40</v>
      </c>
    </row>
    <row r="9" spans="1:6" x14ac:dyDescent="0.25">
      <c r="A9" s="1" t="s">
        <v>72</v>
      </c>
      <c r="B9" s="1" t="s">
        <v>65</v>
      </c>
      <c r="C9" s="8">
        <v>28000</v>
      </c>
      <c r="D9" s="13">
        <v>1</v>
      </c>
      <c r="E9" s="14">
        <f>IF(D9=0,0,IF(B9="kg",C9/1000/D9,C9/D9))</f>
        <v>28</v>
      </c>
      <c r="F9" s="1" t="s">
        <v>40</v>
      </c>
    </row>
    <row r="10" spans="1:6" x14ac:dyDescent="0.25">
      <c r="A10" s="1" t="s">
        <v>73</v>
      </c>
      <c r="B10" s="1" t="s">
        <v>65</v>
      </c>
      <c r="C10" s="8">
        <v>40000</v>
      </c>
      <c r="D10" s="13">
        <v>1</v>
      </c>
      <c r="E10" s="14">
        <f>IF(D10=0,0,IF(B10="kg",C10/1000/D10,C10/D10))</f>
        <v>40</v>
      </c>
      <c r="F10" s="1" t="s">
        <v>74</v>
      </c>
    </row>
    <row r="11" spans="1:6" x14ac:dyDescent="0.25">
      <c r="A11" s="1" t="s">
        <v>75</v>
      </c>
      <c r="B11" s="1" t="s">
        <v>65</v>
      </c>
      <c r="C11" s="8">
        <v>28000</v>
      </c>
      <c r="D11" s="13">
        <v>1</v>
      </c>
      <c r="E11" s="14">
        <f>IF(D11=0,0,IF(B11="kg",C11/1000/D11,C11/D11))</f>
        <v>28</v>
      </c>
      <c r="F11" s="1" t="s">
        <v>40</v>
      </c>
    </row>
    <row r="12" spans="1:6" x14ac:dyDescent="0.25">
      <c r="A12" s="1" t="s">
        <v>76</v>
      </c>
      <c r="B12" s="1" t="s">
        <v>65</v>
      </c>
      <c r="C12" s="8">
        <v>45000</v>
      </c>
      <c r="D12" s="13">
        <v>1</v>
      </c>
      <c r="E12" s="14">
        <f>IF(D12=0,0,IF(B12="kg",C12/1000/D12,C12/D12))</f>
        <v>45</v>
      </c>
      <c r="F12" s="1" t="s">
        <v>40</v>
      </c>
    </row>
    <row r="13" spans="1:6" x14ac:dyDescent="0.25">
      <c r="A13" s="1" t="s">
        <v>77</v>
      </c>
      <c r="B13" s="1" t="s">
        <v>65</v>
      </c>
      <c r="C13" s="8">
        <v>30000</v>
      </c>
      <c r="D13" s="13">
        <v>1</v>
      </c>
      <c r="E13" s="14">
        <f>IF(D13=0,0,IF(B13="kg",C13/1000/D13,C13/D13))</f>
        <v>30</v>
      </c>
      <c r="F13" s="1" t="s">
        <v>40</v>
      </c>
    </row>
    <row r="14" spans="1:6" x14ac:dyDescent="0.25">
      <c r="A14" s="1" t="s">
        <v>78</v>
      </c>
      <c r="B14" s="1" t="s">
        <v>65</v>
      </c>
      <c r="C14" s="8">
        <v>16000</v>
      </c>
      <c r="D14" s="13">
        <v>1</v>
      </c>
      <c r="E14" s="14">
        <f>IF(D14=0,0,IF(B14="kg",C14/1000/D14,C14/D14))</f>
        <v>16</v>
      </c>
      <c r="F14" s="1" t="s">
        <v>40</v>
      </c>
    </row>
    <row r="15" spans="1:6" x14ac:dyDescent="0.25">
      <c r="A15" s="1" t="s">
        <v>79</v>
      </c>
      <c r="B15" s="1" t="s">
        <v>65</v>
      </c>
      <c r="C15" s="8">
        <v>12000</v>
      </c>
      <c r="D15" s="13">
        <v>1</v>
      </c>
      <c r="E15" s="14">
        <f>IF(D15=0,0,IF(B15="kg",C15/1000/D15,C15/D15))</f>
        <v>12</v>
      </c>
      <c r="F15" s="1" t="s">
        <v>40</v>
      </c>
    </row>
    <row r="16" spans="1:6" x14ac:dyDescent="0.25">
      <c r="A16" s="1" t="s">
        <v>80</v>
      </c>
      <c r="B16" s="1" t="s">
        <v>65</v>
      </c>
      <c r="C16" s="8">
        <v>20000</v>
      </c>
      <c r="D16" s="13">
        <v>1</v>
      </c>
      <c r="E16" s="14">
        <f>IF(D16=0,0,IF(B16="kg",C16/1000/D16,C16/D16))</f>
        <v>20</v>
      </c>
      <c r="F16" s="1" t="s">
        <v>40</v>
      </c>
    </row>
    <row r="17" spans="1:6" x14ac:dyDescent="0.25">
      <c r="A17" s="1" t="s">
        <v>81</v>
      </c>
      <c r="B17" s="1" t="s">
        <v>65</v>
      </c>
      <c r="C17" s="8">
        <v>18000</v>
      </c>
      <c r="D17" s="13">
        <v>1</v>
      </c>
      <c r="E17" s="14">
        <f>IF(D17=0,0,IF(B17="kg",C17/1000/D17,C17/D17))</f>
        <v>18</v>
      </c>
      <c r="F17" s="1" t="s">
        <v>40</v>
      </c>
    </row>
    <row r="18" spans="1:6" x14ac:dyDescent="0.25">
      <c r="A18" s="1" t="s">
        <v>82</v>
      </c>
      <c r="B18" s="1" t="s">
        <v>65</v>
      </c>
      <c r="C18" s="8">
        <v>25000</v>
      </c>
      <c r="D18" s="13">
        <v>1</v>
      </c>
      <c r="E18" s="14">
        <f>IF(D18=0,0,IF(B18="kg",C18/1000/D18,C18/D18))</f>
        <v>25</v>
      </c>
      <c r="F18" s="1" t="s">
        <v>40</v>
      </c>
    </row>
    <row r="19" spans="1:6" x14ac:dyDescent="0.25">
      <c r="A19" s="1" t="s">
        <v>83</v>
      </c>
      <c r="B19" s="1" t="s">
        <v>65</v>
      </c>
      <c r="C19" s="8">
        <v>3500</v>
      </c>
      <c r="D19" s="13">
        <v>0.5</v>
      </c>
      <c r="E19" s="14">
        <f>IF(D19=0,0,IF(B19="kg",C19/1000/D19,C19/D19))</f>
        <v>7</v>
      </c>
      <c r="F19" s="1" t="s">
        <v>84</v>
      </c>
    </row>
    <row r="20" spans="1:6" x14ac:dyDescent="0.25">
      <c r="A20" s="1" t="s">
        <v>85</v>
      </c>
      <c r="B20" s="1" t="s">
        <v>65</v>
      </c>
      <c r="C20" s="15">
        <f>'Salsa Carnitas'!D16</f>
        <v>14561.316051844466</v>
      </c>
      <c r="D20" s="13">
        <v>1</v>
      </c>
      <c r="E20" s="14">
        <f>IF(D20=0,0,IF(B20="kg",C20/1000/D20,C20/D20))</f>
        <v>14.561316051844466</v>
      </c>
      <c r="F20" s="1" t="s">
        <v>86</v>
      </c>
    </row>
    <row r="21" spans="1:6" x14ac:dyDescent="0.25">
      <c r="A21" s="1" t="s">
        <v>87</v>
      </c>
      <c r="B21" s="1" t="s">
        <v>88</v>
      </c>
      <c r="C21" s="8">
        <v>500</v>
      </c>
      <c r="D21" s="13">
        <v>1</v>
      </c>
      <c r="E21" s="14">
        <f>IF(D21=0,0,IF(B21="kg",C21/1000/D21,C21/D21))</f>
        <v>500</v>
      </c>
      <c r="F21" s="1" t="s">
        <v>89</v>
      </c>
    </row>
    <row r="22" spans="1:6" x14ac:dyDescent="0.25">
      <c r="A22" s="1" t="s">
        <v>90</v>
      </c>
      <c r="B22" s="1" t="s">
        <v>88</v>
      </c>
      <c r="C22" s="8">
        <v>1000</v>
      </c>
      <c r="D22" s="13">
        <v>1</v>
      </c>
      <c r="E22" s="14">
        <f>IF(D22=0,0,IF(B22="kg",C22/1000/D22,C22/D22))</f>
        <v>1000</v>
      </c>
      <c r="F22" s="1" t="s">
        <v>91</v>
      </c>
    </row>
    <row r="23" spans="1:6" x14ac:dyDescent="0.25">
      <c r="A23" s="1" t="s">
        <v>92</v>
      </c>
      <c r="B23" s="1" t="s">
        <v>88</v>
      </c>
      <c r="C23" s="8">
        <v>1500</v>
      </c>
      <c r="D23" s="13">
        <v>1</v>
      </c>
      <c r="E23" s="14">
        <f>IF(D23=0,0,IF(B23="kg",C23/1000/D23,C23/D23))</f>
        <v>1500</v>
      </c>
      <c r="F23" s="1" t="s">
        <v>40</v>
      </c>
    </row>
    <row r="24" spans="1:6" x14ac:dyDescent="0.25">
      <c r="A24" s="1" t="s">
        <v>93</v>
      </c>
      <c r="B24" s="1" t="s">
        <v>88</v>
      </c>
      <c r="C24" s="8">
        <v>1300</v>
      </c>
      <c r="D24" s="13">
        <v>1</v>
      </c>
      <c r="E24" s="14">
        <f>IF(D24=0,0,IF(B24="kg",C24/1000/D24,C24/D24))</f>
        <v>1300</v>
      </c>
      <c r="F24" s="1" t="s">
        <v>40</v>
      </c>
    </row>
    <row r="25" spans="1:6" x14ac:dyDescent="0.25">
      <c r="A25" s="1" t="s">
        <v>94</v>
      </c>
      <c r="B25" s="1" t="s">
        <v>88</v>
      </c>
      <c r="C25" s="8">
        <v>1800</v>
      </c>
      <c r="D25" s="13">
        <v>1</v>
      </c>
      <c r="E25" s="14">
        <f>IF(D25=0,0,IF(B25="kg",C25/1000/D25,C25/D25))</f>
        <v>1800</v>
      </c>
      <c r="F25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AF44-FDD1-4109-BDE9-E1105B942044}">
  <dimension ref="A1:E16"/>
  <sheetViews>
    <sheetView workbookViewId="0"/>
  </sheetViews>
  <sheetFormatPr baseColWidth="10" defaultRowHeight="13.2" x14ac:dyDescent="0.25"/>
  <cols>
    <col min="1" max="1" width="36.77734375" style="1" customWidth="1"/>
    <col min="2" max="2" width="14.77734375" style="1" customWidth="1"/>
    <col min="3" max="3" width="18.77734375" style="1" customWidth="1"/>
    <col min="4" max="4" width="22.77734375" style="1" customWidth="1"/>
    <col min="5" max="5" width="40.77734375" style="1" customWidth="1"/>
    <col min="6" max="16384" width="11.5546875" style="1"/>
  </cols>
  <sheetData>
    <row r="1" spans="1:5" ht="17.399999999999999" x14ac:dyDescent="0.3">
      <c r="A1" s="3" t="s">
        <v>33</v>
      </c>
    </row>
    <row r="3" spans="1:5" ht="30" customHeight="1" x14ac:dyDescent="0.2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</row>
    <row r="4" spans="1:5" x14ac:dyDescent="0.25">
      <c r="A4" s="1" t="s">
        <v>39</v>
      </c>
      <c r="B4" s="6">
        <v>840</v>
      </c>
      <c r="C4" s="8">
        <v>13000</v>
      </c>
      <c r="D4" s="7">
        <f>B4*C4/1000</f>
        <v>10920</v>
      </c>
      <c r="E4" s="1" t="s">
        <v>40</v>
      </c>
    </row>
    <row r="5" spans="1:5" x14ac:dyDescent="0.25">
      <c r="A5" s="1" t="s">
        <v>41</v>
      </c>
      <c r="B5" s="6">
        <v>70</v>
      </c>
      <c r="C5" s="8">
        <v>25000</v>
      </c>
      <c r="D5" s="7">
        <f>B5*C5/1000</f>
        <v>1750</v>
      </c>
      <c r="E5" s="1" t="s">
        <v>42</v>
      </c>
    </row>
    <row r="6" spans="1:5" x14ac:dyDescent="0.25">
      <c r="A6" s="1" t="s">
        <v>43</v>
      </c>
      <c r="B6" s="6">
        <v>25</v>
      </c>
      <c r="C6" s="8">
        <v>8000</v>
      </c>
      <c r="D6" s="7">
        <f>B6*C6/1000</f>
        <v>200</v>
      </c>
      <c r="E6" s="1" t="s">
        <v>40</v>
      </c>
    </row>
    <row r="7" spans="1:5" x14ac:dyDescent="0.25">
      <c r="A7" s="1" t="s">
        <v>44</v>
      </c>
      <c r="B7" s="6">
        <v>25</v>
      </c>
      <c r="C7" s="8">
        <v>15000</v>
      </c>
      <c r="D7" s="7">
        <f>B7*C7/1000</f>
        <v>375</v>
      </c>
      <c r="E7" s="1" t="s">
        <v>40</v>
      </c>
    </row>
    <row r="8" spans="1:5" x14ac:dyDescent="0.25">
      <c r="A8" s="1" t="s">
        <v>45</v>
      </c>
      <c r="B8" s="6">
        <v>12</v>
      </c>
      <c r="C8" s="8">
        <v>5000</v>
      </c>
      <c r="D8" s="7">
        <f>B8*C8/1000</f>
        <v>60</v>
      </c>
      <c r="E8" s="1" t="s">
        <v>46</v>
      </c>
    </row>
    <row r="9" spans="1:5" x14ac:dyDescent="0.25">
      <c r="A9" s="1" t="s">
        <v>47</v>
      </c>
      <c r="B9" s="6">
        <v>10</v>
      </c>
      <c r="C9" s="8">
        <v>0</v>
      </c>
      <c r="D9" s="7">
        <f>B9*C9/1000</f>
        <v>0</v>
      </c>
      <c r="E9" s="1" t="s">
        <v>48</v>
      </c>
    </row>
    <row r="10" spans="1:5" x14ac:dyDescent="0.25">
      <c r="A10" s="1" t="s">
        <v>49</v>
      </c>
      <c r="B10" s="6">
        <v>8</v>
      </c>
      <c r="C10" s="8">
        <v>80000</v>
      </c>
      <c r="D10" s="7">
        <f>B10*C10/1000</f>
        <v>640</v>
      </c>
      <c r="E10" s="1" t="s">
        <v>40</v>
      </c>
    </row>
    <row r="11" spans="1:5" x14ac:dyDescent="0.25">
      <c r="A11" s="1" t="s">
        <v>50</v>
      </c>
      <c r="B11" s="6">
        <v>4</v>
      </c>
      <c r="C11" s="8">
        <v>40000</v>
      </c>
      <c r="D11" s="7">
        <f>B11*C11/1000</f>
        <v>160</v>
      </c>
      <c r="E11" s="1" t="s">
        <v>40</v>
      </c>
    </row>
    <row r="12" spans="1:5" x14ac:dyDescent="0.25">
      <c r="A12" s="1" t="s">
        <v>51</v>
      </c>
      <c r="B12" s="6">
        <v>4</v>
      </c>
      <c r="C12" s="8">
        <v>40000</v>
      </c>
      <c r="D12" s="7">
        <f>B12*C12/1000</f>
        <v>160</v>
      </c>
      <c r="E12" s="1" t="s">
        <v>40</v>
      </c>
    </row>
    <row r="13" spans="1:5" x14ac:dyDescent="0.25">
      <c r="A13" s="1" t="s">
        <v>52</v>
      </c>
      <c r="B13" s="6">
        <v>3</v>
      </c>
      <c r="C13" s="8">
        <v>80000</v>
      </c>
      <c r="D13" s="7">
        <f>B13*C13/1000</f>
        <v>240</v>
      </c>
      <c r="E13" s="1" t="s">
        <v>40</v>
      </c>
    </row>
    <row r="14" spans="1:5" x14ac:dyDescent="0.25">
      <c r="A14" s="1" t="s">
        <v>53</v>
      </c>
      <c r="B14" s="6">
        <v>2</v>
      </c>
      <c r="C14" s="8">
        <v>50000</v>
      </c>
      <c r="D14" s="7">
        <f>B14*C14/1000</f>
        <v>100</v>
      </c>
      <c r="E14" s="1" t="s">
        <v>40</v>
      </c>
    </row>
    <row r="15" spans="1:5" x14ac:dyDescent="0.25">
      <c r="A15" s="2" t="s">
        <v>54</v>
      </c>
      <c r="B15" s="9">
        <f>SUM(B4:B14)</f>
        <v>1003</v>
      </c>
      <c r="D15" s="10">
        <f>SUM(D4:D14)</f>
        <v>14605</v>
      </c>
    </row>
    <row r="16" spans="1:5" x14ac:dyDescent="0.25">
      <c r="A16" s="2" t="s">
        <v>55</v>
      </c>
      <c r="D16" s="10">
        <f>IF(B15=0,0,D15/B15*1000)</f>
        <v>14561.316051844466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BA84-77B9-42C6-93AE-9B619D9BC8BC}">
  <dimension ref="A1:G18"/>
  <sheetViews>
    <sheetView workbookViewId="0"/>
  </sheetViews>
  <sheetFormatPr baseColWidth="10" defaultRowHeight="13.2" x14ac:dyDescent="0.25"/>
  <cols>
    <col min="1" max="1" width="32.77734375" style="1" customWidth="1"/>
    <col min="2" max="2" width="30.77734375" style="1" customWidth="1"/>
    <col min="3" max="3" width="11.77734375" style="1" customWidth="1"/>
    <col min="4" max="4" width="14.77734375" style="1" customWidth="1"/>
    <col min="5" max="5" width="20.77734375" style="1" customWidth="1"/>
    <col min="6" max="6" width="10.77734375" style="1" customWidth="1"/>
    <col min="7" max="7" width="16.77734375" style="1" customWidth="1"/>
    <col min="8" max="16384" width="11.5546875" style="1"/>
  </cols>
  <sheetData>
    <row r="1" spans="1:7" ht="17.399999999999999" x14ac:dyDescent="0.3">
      <c r="A1" s="3" t="s">
        <v>132</v>
      </c>
    </row>
    <row r="3" spans="1:7" ht="30" customHeight="1" x14ac:dyDescent="0.25">
      <c r="A3" s="4" t="s">
        <v>133</v>
      </c>
      <c r="B3" s="4" t="s">
        <v>58</v>
      </c>
      <c r="C3" s="4" t="s">
        <v>134</v>
      </c>
      <c r="D3" s="4" t="s">
        <v>117</v>
      </c>
      <c r="E3" s="4" t="s">
        <v>118</v>
      </c>
      <c r="F3" s="4" t="s">
        <v>119</v>
      </c>
      <c r="G3" s="4" t="s">
        <v>135</v>
      </c>
    </row>
    <row r="4" spans="1:7" x14ac:dyDescent="0.25">
      <c r="A4" s="1" t="s">
        <v>136</v>
      </c>
      <c r="B4" s="1" t="s">
        <v>69</v>
      </c>
      <c r="C4" s="6">
        <v>50</v>
      </c>
      <c r="D4" s="7">
        <f>C4*INDEX(Insumos!$E$5:$E$25,MATCH(B4,Insumos!$A$5:$A$25,0))</f>
        <v>1700</v>
      </c>
      <c r="E4" s="8">
        <v>5000</v>
      </c>
      <c r="F4" s="12">
        <f>IF(E4=0,0,D4/E4)</f>
        <v>0.34</v>
      </c>
      <c r="G4" s="7">
        <f>E4-D4</f>
        <v>3300</v>
      </c>
    </row>
    <row r="5" spans="1:7" x14ac:dyDescent="0.25">
      <c r="A5" s="1" t="s">
        <v>137</v>
      </c>
      <c r="B5" s="1" t="s">
        <v>76</v>
      </c>
      <c r="C5" s="6">
        <v>30</v>
      </c>
      <c r="D5" s="7">
        <f>C5*INDEX(Insumos!$E$5:$E$25,MATCH(B5,Insumos!$A$5:$A$25,0))</f>
        <v>1350</v>
      </c>
      <c r="E5" s="8">
        <v>3500</v>
      </c>
      <c r="F5" s="12">
        <f>IF(E5=0,0,D5/E5)</f>
        <v>0.38571428571428573</v>
      </c>
      <c r="G5" s="7">
        <f>E5-D5</f>
        <v>2150</v>
      </c>
    </row>
    <row r="6" spans="1:7" x14ac:dyDescent="0.25">
      <c r="A6" s="1" t="s">
        <v>138</v>
      </c>
      <c r="B6" s="1" t="s">
        <v>73</v>
      </c>
      <c r="C6" s="6">
        <v>25</v>
      </c>
      <c r="D6" s="7">
        <f>C6*INDEX(Insumos!$E$5:$E$25,MATCH(B6,Insumos!$A$5:$A$25,0))</f>
        <v>1000</v>
      </c>
      <c r="E6" s="8">
        <v>3000</v>
      </c>
      <c r="F6" s="12">
        <f>IF(E6=0,0,D6/E6)</f>
        <v>0.33333333333333331</v>
      </c>
      <c r="G6" s="7">
        <f>E6-D6</f>
        <v>2000</v>
      </c>
    </row>
    <row r="7" spans="1:7" x14ac:dyDescent="0.25">
      <c r="A7" s="1" t="s">
        <v>139</v>
      </c>
      <c r="B7" s="1" t="s">
        <v>83</v>
      </c>
      <c r="C7" s="6">
        <v>50</v>
      </c>
      <c r="D7" s="7">
        <f>C7*INDEX(Insumos!$E$5:$E$25,MATCH(B7,Insumos!$A$5:$A$25,0))</f>
        <v>350</v>
      </c>
      <c r="E7" s="8">
        <v>2500</v>
      </c>
      <c r="F7" s="12">
        <f>IF(E7=0,0,D7/E7)</f>
        <v>0.14000000000000001</v>
      </c>
      <c r="G7" s="7">
        <f>E7-D7</f>
        <v>2150</v>
      </c>
    </row>
    <row r="8" spans="1:7" x14ac:dyDescent="0.25">
      <c r="A8" s="1" t="s">
        <v>140</v>
      </c>
      <c r="B8" s="1" t="s">
        <v>85</v>
      </c>
      <c r="C8" s="6">
        <v>60</v>
      </c>
      <c r="D8" s="7">
        <f>C8*INDEX(Insumos!$E$5:$E$25,MATCH(B8,Insumos!$A$5:$A$25,0))</f>
        <v>873.67896311066795</v>
      </c>
      <c r="E8" s="8">
        <v>2000</v>
      </c>
      <c r="F8" s="12">
        <f>IF(E8=0,0,D8/E8)</f>
        <v>0.43683948155533397</v>
      </c>
      <c r="G8" s="7">
        <f>E8-D8</f>
        <v>1126.3210368893319</v>
      </c>
    </row>
    <row r="9" spans="1:7" x14ac:dyDescent="0.25">
      <c r="A9" s="1" t="s">
        <v>141</v>
      </c>
      <c r="B9" s="1" t="s">
        <v>82</v>
      </c>
      <c r="C9" s="6">
        <v>15</v>
      </c>
      <c r="D9" s="7">
        <f>C9*INDEX(Insumos!$E$5:$E$25,MATCH(B9,Insumos!$A$5:$A$25,0))</f>
        <v>375</v>
      </c>
      <c r="E9" s="8">
        <v>1000</v>
      </c>
      <c r="F9" s="12">
        <f>IF(E9=0,0,D9/E9)</f>
        <v>0.375</v>
      </c>
      <c r="G9" s="7">
        <f>E9-D9</f>
        <v>625</v>
      </c>
    </row>
    <row r="10" spans="1:7" x14ac:dyDescent="0.25">
      <c r="A10" s="1" t="s">
        <v>142</v>
      </c>
      <c r="B10" s="1" t="s">
        <v>143</v>
      </c>
      <c r="C10" s="6">
        <v>250</v>
      </c>
      <c r="D10" s="7">
        <f>C10*INDEX(Insumos!$E$5:$E$25,MATCH("Salsa Carnitas",Insumos!$A$5:$A$25,0))+INDEX(Insumos!$E$5:$E$25,MATCH("Frasco 250 g con tapa y etiqueta",Insumos!$A$5:$A$25,0))</f>
        <v>5440.329012961116</v>
      </c>
      <c r="E10" s="8">
        <v>15000</v>
      </c>
      <c r="F10" s="12">
        <f>IF(E10=0,0,D10/E10)</f>
        <v>0.3626886008640744</v>
      </c>
      <c r="G10" s="7">
        <f>E10-D10</f>
        <v>9559.670987038884</v>
      </c>
    </row>
    <row r="11" spans="1:7" x14ac:dyDescent="0.25">
      <c r="A11" s="1" t="s">
        <v>144</v>
      </c>
      <c r="B11" s="1" t="s">
        <v>145</v>
      </c>
      <c r="C11" s="5">
        <v>1</v>
      </c>
      <c r="D11" s="7">
        <f>Resumen!D7+INDEX(Insumos!$E$5:$E$25,MATCH("Gaseosa 250 ml",Insumos!$A$5:$A$25,0))</f>
        <v>8696.9187890872836</v>
      </c>
      <c r="E11" s="8">
        <v>21900</v>
      </c>
      <c r="F11" s="12">
        <f>IF(E11=0,0,D11/E11)</f>
        <v>0.39711957941037823</v>
      </c>
      <c r="G11" s="7">
        <f>E11-D11</f>
        <v>13203.081210912716</v>
      </c>
    </row>
    <row r="13" spans="1:7" x14ac:dyDescent="0.25">
      <c r="A13" s="2" t="s">
        <v>146</v>
      </c>
    </row>
    <row r="14" spans="1:7" x14ac:dyDescent="0.25">
      <c r="A14" s="1" t="s">
        <v>147</v>
      </c>
    </row>
    <row r="15" spans="1:7" x14ac:dyDescent="0.25">
      <c r="A15" s="1" t="s">
        <v>148</v>
      </c>
    </row>
    <row r="16" spans="1:7" x14ac:dyDescent="0.25">
      <c r="A16" s="1" t="s">
        <v>149</v>
      </c>
    </row>
    <row r="17" spans="1:1" x14ac:dyDescent="0.25">
      <c r="A17" s="1" t="s">
        <v>150</v>
      </c>
    </row>
    <row r="18" spans="1:1" x14ac:dyDescent="0.25">
      <c r="A18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Leeme</vt:lpstr>
      <vt:lpstr>Resumen</vt:lpstr>
      <vt:lpstr>Fichas técnicas</vt:lpstr>
      <vt:lpstr>Insumos</vt:lpstr>
      <vt:lpstr>Salsa Carnitas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2026-10-09T00:27:45Z</dcterms:created>
  <dcterms:modified xsi:type="dcterms:W3CDTF">2026-10-09T00:27:52Z</dcterms:modified>
</cp:coreProperties>
</file>